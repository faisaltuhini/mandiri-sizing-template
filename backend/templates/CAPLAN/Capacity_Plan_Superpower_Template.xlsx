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comacbook/Documents/03_CODE/diagram-ddl/00_INIT/"/>
    </mc:Choice>
  </mc:AlternateContent>
  <xr:revisionPtr revIDLastSave="0" documentId="13_ncr:1_{19A094FF-9858-434A-A071-8CA474C3AECF}" xr6:coauthVersionLast="47" xr6:coauthVersionMax="47" xr10:uidLastSave="{00000000-0000-0000-0000-000000000000}"/>
  <bookViews>
    <workbookView xWindow="3120" yWindow="5980" windowWidth="36000" windowHeight="21440" activeTab="1" xr2:uid="{00000000-000D-0000-FFFF-FFFF00000000}"/>
  </bookViews>
  <sheets>
    <sheet name="00_Cover_&amp;_Control" sheetId="1" r:id="rId1"/>
    <sheet name="01_Business_Growth_Plan" sheetId="2" r:id="rId2"/>
    <sheet name="03_PT_Baseline_Data" sheetId="3" r:id="rId3"/>
    <sheet name="04_Extrapolation_Engine" sheetId="4" r:id="rId4"/>
    <sheet name="06_Database_Capacity" sheetId="5" r:id="rId5"/>
    <sheet name="07_Redis_&amp;_Middleware" sheetId="6" r:id="rId6"/>
    <sheet name="09_Hardware_BOM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I15" i="7"/>
  <c r="J14" i="7"/>
  <c r="I14" i="7"/>
  <c r="J13" i="7"/>
  <c r="I13" i="7"/>
  <c r="B10" i="6"/>
  <c r="G8" i="5"/>
  <c r="H8" i="5" s="1"/>
  <c r="I8" i="5" s="1"/>
  <c r="J8" i="5" s="1"/>
  <c r="K8" i="5" s="1"/>
  <c r="G7" i="5"/>
  <c r="H7" i="5" s="1"/>
  <c r="I7" i="5" s="1"/>
  <c r="J7" i="5" s="1"/>
  <c r="K7" i="5" s="1"/>
  <c r="H15" i="7" s="1"/>
  <c r="K15" i="7" s="1"/>
  <c r="G6" i="5"/>
  <c r="H6" i="5" s="1"/>
  <c r="I6" i="5" s="1"/>
  <c r="J6" i="5" s="1"/>
  <c r="K6" i="5" s="1"/>
  <c r="H14" i="7" s="1"/>
  <c r="K14" i="7" s="1"/>
  <c r="G5" i="5"/>
  <c r="H5" i="5" s="1"/>
  <c r="I5" i="5" s="1"/>
  <c r="J5" i="5" s="1"/>
  <c r="K5" i="5" s="1"/>
  <c r="G4" i="5"/>
  <c r="H4" i="5" s="1"/>
  <c r="I4" i="5" s="1"/>
  <c r="J4" i="5" s="1"/>
  <c r="K4" i="5" s="1"/>
  <c r="H13" i="7" s="1"/>
  <c r="K13" i="7" s="1"/>
  <c r="I21" i="4"/>
  <c r="J21" i="4" s="1"/>
  <c r="H21" i="4"/>
  <c r="G21" i="4"/>
  <c r="D21" i="4"/>
  <c r="C21" i="4"/>
  <c r="E21" i="4" s="1"/>
  <c r="F21" i="4" s="1"/>
  <c r="B21" i="4"/>
  <c r="H20" i="4"/>
  <c r="I20" i="4" s="1"/>
  <c r="J20" i="4" s="1"/>
  <c r="G20" i="4"/>
  <c r="E20" i="4"/>
  <c r="F20" i="4" s="1"/>
  <c r="D20" i="4"/>
  <c r="C20" i="4"/>
  <c r="B20" i="4"/>
  <c r="H19" i="4"/>
  <c r="G19" i="4"/>
  <c r="D19" i="4"/>
  <c r="E19" i="4" s="1"/>
  <c r="C19" i="4"/>
  <c r="F19" i="4" s="1"/>
  <c r="B19" i="4"/>
  <c r="H18" i="4"/>
  <c r="I18" i="4" s="1"/>
  <c r="G18" i="4"/>
  <c r="D18" i="4"/>
  <c r="E18" i="4" s="1"/>
  <c r="F18" i="4" s="1"/>
  <c r="C18" i="4"/>
  <c r="B18" i="4"/>
  <c r="H17" i="4"/>
  <c r="G17" i="4"/>
  <c r="I17" i="4" s="1"/>
  <c r="E17" i="4"/>
  <c r="F17" i="4" s="1"/>
  <c r="D17" i="4"/>
  <c r="C17" i="4"/>
  <c r="B17" i="4"/>
  <c r="H16" i="4"/>
  <c r="I16" i="4" s="1"/>
  <c r="G16" i="4"/>
  <c r="J16" i="4" s="1"/>
  <c r="D16" i="4"/>
  <c r="E16" i="4" s="1"/>
  <c r="F16" i="4" s="1"/>
  <c r="C16" i="4"/>
  <c r="B16" i="4"/>
  <c r="H15" i="4"/>
  <c r="G15" i="4"/>
  <c r="I15" i="4" s="1"/>
  <c r="J15" i="4" s="1"/>
  <c r="D15" i="4"/>
  <c r="C15" i="4"/>
  <c r="B15" i="4"/>
  <c r="I14" i="4"/>
  <c r="J14" i="4" s="1"/>
  <c r="H14" i="4"/>
  <c r="G14" i="4"/>
  <c r="D14" i="4"/>
  <c r="E14" i="4" s="1"/>
  <c r="C14" i="4"/>
  <c r="B14" i="4"/>
  <c r="H13" i="4"/>
  <c r="I13" i="4" s="1"/>
  <c r="G13" i="4"/>
  <c r="J13" i="4" s="1"/>
  <c r="D13" i="4"/>
  <c r="C13" i="4"/>
  <c r="B13" i="4"/>
  <c r="J12" i="4"/>
  <c r="H12" i="4"/>
  <c r="I12" i="4" s="1"/>
  <c r="G12" i="4"/>
  <c r="D12" i="4"/>
  <c r="E12" i="4" s="1"/>
  <c r="C12" i="4"/>
  <c r="F12" i="4" s="1"/>
  <c r="B12" i="4"/>
  <c r="I11" i="4"/>
  <c r="J11" i="4" s="1"/>
  <c r="H11" i="4"/>
  <c r="G11" i="4"/>
  <c r="D11" i="4"/>
  <c r="C11" i="4"/>
  <c r="E11" i="4" s="1"/>
  <c r="F11" i="4" s="1"/>
  <c r="B11" i="4"/>
  <c r="H10" i="4"/>
  <c r="I10" i="4" s="1"/>
  <c r="J10" i="4" s="1"/>
  <c r="G10" i="4"/>
  <c r="E10" i="4"/>
  <c r="F10" i="4" s="1"/>
  <c r="D10" i="4"/>
  <c r="C10" i="4"/>
  <c r="B10" i="4"/>
  <c r="H9" i="4"/>
  <c r="G9" i="4"/>
  <c r="D9" i="4"/>
  <c r="E9" i="4" s="1"/>
  <c r="C9" i="4"/>
  <c r="B9" i="4"/>
  <c r="H8" i="4"/>
  <c r="I8" i="4" s="1"/>
  <c r="G8" i="4"/>
  <c r="D8" i="4"/>
  <c r="C8" i="4"/>
  <c r="B8" i="4"/>
  <c r="L7" i="4"/>
  <c r="Q7" i="4" s="1"/>
  <c r="H7" i="4"/>
  <c r="G7" i="4"/>
  <c r="E7" i="4"/>
  <c r="F7" i="4" s="1"/>
  <c r="D7" i="4"/>
  <c r="C7" i="4"/>
  <c r="B7" i="4"/>
  <c r="H6" i="4"/>
  <c r="I6" i="4" s="1"/>
  <c r="G6" i="4"/>
  <c r="J6" i="4" s="1"/>
  <c r="D6" i="4"/>
  <c r="E6" i="4" s="1"/>
  <c r="F6" i="4" s="1"/>
  <c r="N6" i="4" s="1"/>
  <c r="S6" i="4" s="1"/>
  <c r="C6" i="4"/>
  <c r="B6" i="4"/>
  <c r="H5" i="4"/>
  <c r="G5" i="4"/>
  <c r="I5" i="4" s="1"/>
  <c r="J5" i="4" s="1"/>
  <c r="D5" i="4"/>
  <c r="C5" i="4"/>
  <c r="B5" i="4"/>
  <c r="I4" i="4"/>
  <c r="J4" i="4" s="1"/>
  <c r="H4" i="4"/>
  <c r="G4" i="4"/>
  <c r="D4" i="4"/>
  <c r="E4" i="4" s="1"/>
  <c r="C4" i="4"/>
  <c r="F4" i="4" s="1"/>
  <c r="B4" i="4"/>
  <c r="F13" i="2"/>
  <c r="G13" i="2" s="1"/>
  <c r="H13" i="2" s="1"/>
  <c r="O7" i="4" s="1"/>
  <c r="T7" i="4" s="1"/>
  <c r="E13" i="2"/>
  <c r="D12" i="2"/>
  <c r="E9" i="2"/>
  <c r="F8" i="2"/>
  <c r="G8" i="2" s="1"/>
  <c r="H8" i="2" s="1"/>
  <c r="E8" i="2"/>
  <c r="F7" i="2"/>
  <c r="G7" i="2" s="1"/>
  <c r="H7" i="2" s="1"/>
  <c r="E7" i="2"/>
  <c r="G6" i="2"/>
  <c r="H6" i="2" s="1"/>
  <c r="F6" i="2"/>
  <c r="E6" i="2"/>
  <c r="E5" i="2"/>
  <c r="F5" i="2" s="1"/>
  <c r="G5" i="2" s="1"/>
  <c r="H5" i="2" s="1"/>
  <c r="H4" i="2"/>
  <c r="E4" i="2"/>
  <c r="F4" i="2" s="1"/>
  <c r="G4" i="2" s="1"/>
  <c r="L18" i="4" l="1"/>
  <c r="Q18" i="4" s="1"/>
  <c r="K18" i="4"/>
  <c r="P18" i="4" s="1"/>
  <c r="E11" i="7" s="1"/>
  <c r="O18" i="4"/>
  <c r="T18" i="4" s="1"/>
  <c r="N18" i="4"/>
  <c r="S18" i="4" s="1"/>
  <c r="M18" i="4"/>
  <c r="R18" i="4" s="1"/>
  <c r="K17" i="4"/>
  <c r="P17" i="4" s="1"/>
  <c r="E10" i="7" s="1"/>
  <c r="N17" i="4"/>
  <c r="S17" i="4" s="1"/>
  <c r="M17" i="4"/>
  <c r="R17" i="4" s="1"/>
  <c r="L17" i="4"/>
  <c r="Q17" i="4" s="1"/>
  <c r="N4" i="4"/>
  <c r="S4" i="4" s="1"/>
  <c r="M4" i="4"/>
  <c r="R4" i="4" s="1"/>
  <c r="O4" i="4"/>
  <c r="T4" i="4" s="1"/>
  <c r="K4" i="4"/>
  <c r="P4" i="4" s="1"/>
  <c r="E4" i="7" s="1"/>
  <c r="L4" i="4"/>
  <c r="Q4" i="4" s="1"/>
  <c r="K7" i="4"/>
  <c r="P7" i="4" s="1"/>
  <c r="E7" i="7" s="1"/>
  <c r="N7" i="4"/>
  <c r="S7" i="4" s="1"/>
  <c r="M7" i="4"/>
  <c r="R7" i="4" s="1"/>
  <c r="F14" i="4"/>
  <c r="O21" i="4"/>
  <c r="T21" i="4" s="1"/>
  <c r="N21" i="4"/>
  <c r="S21" i="4" s="1"/>
  <c r="M21" i="4"/>
  <c r="R21" i="4" s="1"/>
  <c r="L21" i="4"/>
  <c r="Q21" i="4" s="1"/>
  <c r="K21" i="4"/>
  <c r="P21" i="4" s="1"/>
  <c r="N10" i="4"/>
  <c r="S10" i="4" s="1"/>
  <c r="L10" i="4"/>
  <c r="Q10" i="4" s="1"/>
  <c r="M10" i="4"/>
  <c r="R10" i="4" s="1"/>
  <c r="K10" i="4"/>
  <c r="P10" i="4" s="1"/>
  <c r="O16" i="4"/>
  <c r="T16" i="4" s="1"/>
  <c r="M16" i="4"/>
  <c r="R16" i="4" s="1"/>
  <c r="L16" i="4"/>
  <c r="Q16" i="4" s="1"/>
  <c r="K16" i="4"/>
  <c r="P16" i="4" s="1"/>
  <c r="E9" i="7" s="1"/>
  <c r="K6" i="4"/>
  <c r="P6" i="4" s="1"/>
  <c r="E6" i="7" s="1"/>
  <c r="O10" i="4"/>
  <c r="T10" i="4" s="1"/>
  <c r="K12" i="4"/>
  <c r="P12" i="4" s="1"/>
  <c r="O12" i="4"/>
  <c r="T12" i="4" s="1"/>
  <c r="N12" i="4"/>
  <c r="S12" i="4" s="1"/>
  <c r="L12" i="4"/>
  <c r="Q12" i="4" s="1"/>
  <c r="M12" i="4"/>
  <c r="R12" i="4" s="1"/>
  <c r="N16" i="4"/>
  <c r="S16" i="4" s="1"/>
  <c r="N20" i="4"/>
  <c r="S20" i="4" s="1"/>
  <c r="M20" i="4"/>
  <c r="R20" i="4" s="1"/>
  <c r="L20" i="4"/>
  <c r="Q20" i="4" s="1"/>
  <c r="K20" i="4"/>
  <c r="P20" i="4" s="1"/>
  <c r="O20" i="4"/>
  <c r="T20" i="4" s="1"/>
  <c r="F5" i="4"/>
  <c r="N19" i="4"/>
  <c r="S19" i="4" s="1"/>
  <c r="M19" i="4"/>
  <c r="R19" i="4" s="1"/>
  <c r="L19" i="4"/>
  <c r="Q19" i="4" s="1"/>
  <c r="K19" i="4"/>
  <c r="P19" i="4" s="1"/>
  <c r="E12" i="7" s="1"/>
  <c r="O19" i="4"/>
  <c r="T19" i="4" s="1"/>
  <c r="E5" i="4"/>
  <c r="I19" i="4"/>
  <c r="J19" i="4" s="1"/>
  <c r="E8" i="4"/>
  <c r="F8" i="4" s="1"/>
  <c r="I9" i="4"/>
  <c r="J9" i="4" s="1"/>
  <c r="E15" i="4"/>
  <c r="F15" i="4" s="1"/>
  <c r="O6" i="4"/>
  <c r="T6" i="4" s="1"/>
  <c r="M6" i="4"/>
  <c r="R6" i="4" s="1"/>
  <c r="L6" i="4"/>
  <c r="Q6" i="4" s="1"/>
  <c r="F9" i="4"/>
  <c r="O17" i="4"/>
  <c r="T17" i="4" s="1"/>
  <c r="E12" i="2"/>
  <c r="F9" i="2"/>
  <c r="J8" i="4"/>
  <c r="O11" i="4"/>
  <c r="T11" i="4" s="1"/>
  <c r="M11" i="4"/>
  <c r="R11" i="4" s="1"/>
  <c r="N11" i="4"/>
  <c r="S11" i="4" s="1"/>
  <c r="K11" i="4"/>
  <c r="P11" i="4" s="1"/>
  <c r="L11" i="4"/>
  <c r="Q11" i="4" s="1"/>
  <c r="J18" i="4"/>
  <c r="I7" i="4"/>
  <c r="J7" i="4" s="1"/>
  <c r="E13" i="4"/>
  <c r="F13" i="4" s="1"/>
  <c r="J17" i="4"/>
  <c r="L8" i="4" l="1"/>
  <c r="Q8" i="4" s="1"/>
  <c r="K8" i="4"/>
  <c r="P8" i="4" s="1"/>
  <c r="E8" i="7" s="1"/>
  <c r="O8" i="4"/>
  <c r="T8" i="4" s="1"/>
  <c r="N8" i="4"/>
  <c r="S8" i="4" s="1"/>
  <c r="M8" i="4"/>
  <c r="R8" i="4" s="1"/>
  <c r="N15" i="4"/>
  <c r="S15" i="4" s="1"/>
  <c r="O15" i="4"/>
  <c r="T15" i="4" s="1"/>
  <c r="L15" i="4"/>
  <c r="Q15" i="4" s="1"/>
  <c r="K15" i="4"/>
  <c r="P15" i="4" s="1"/>
  <c r="M15" i="4"/>
  <c r="R15" i="4" s="1"/>
  <c r="O13" i="4"/>
  <c r="T13" i="4" s="1"/>
  <c r="L13" i="4"/>
  <c r="Q13" i="4" s="1"/>
  <c r="M13" i="4"/>
  <c r="R13" i="4" s="1"/>
  <c r="N13" i="4"/>
  <c r="S13" i="4" s="1"/>
  <c r="K13" i="4"/>
  <c r="P13" i="4" s="1"/>
  <c r="K10" i="7"/>
  <c r="J10" i="7"/>
  <c r="I10" i="7"/>
  <c r="F12" i="2"/>
  <c r="G9" i="2"/>
  <c r="N5" i="4"/>
  <c r="S5" i="4" s="1"/>
  <c r="O5" i="4"/>
  <c r="T5" i="4" s="1"/>
  <c r="L5" i="4"/>
  <c r="Q5" i="4" s="1"/>
  <c r="K5" i="4"/>
  <c r="P5" i="4" s="1"/>
  <c r="E5" i="7" s="1"/>
  <c r="M5" i="4"/>
  <c r="R5" i="4" s="1"/>
  <c r="M14" i="4"/>
  <c r="R14" i="4" s="1"/>
  <c r="N14" i="4"/>
  <c r="S14" i="4" s="1"/>
  <c r="O14" i="4"/>
  <c r="T14" i="4" s="1"/>
  <c r="K14" i="4"/>
  <c r="P14" i="4" s="1"/>
  <c r="L14" i="4"/>
  <c r="Q14" i="4" s="1"/>
  <c r="K7" i="7"/>
  <c r="I7" i="7"/>
  <c r="J7" i="7"/>
  <c r="M9" i="4"/>
  <c r="R9" i="4" s="1"/>
  <c r="K9" i="4"/>
  <c r="P9" i="4" s="1"/>
  <c r="L9" i="4"/>
  <c r="Q9" i="4" s="1"/>
  <c r="O9" i="4"/>
  <c r="T9" i="4" s="1"/>
  <c r="N9" i="4"/>
  <c r="S9" i="4" s="1"/>
  <c r="K9" i="7"/>
  <c r="I9" i="7"/>
  <c r="J9" i="7"/>
  <c r="K11" i="7"/>
  <c r="J11" i="7"/>
  <c r="I11" i="7"/>
  <c r="K4" i="7"/>
  <c r="I4" i="7"/>
  <c r="J4" i="7"/>
  <c r="I12" i="7"/>
  <c r="K12" i="7"/>
  <c r="J12" i="7"/>
  <c r="K6" i="7"/>
  <c r="J6" i="7"/>
  <c r="I6" i="7"/>
  <c r="G12" i="2" l="1"/>
  <c r="H9" i="2"/>
  <c r="H12" i="2" s="1"/>
  <c r="J8" i="7"/>
  <c r="I8" i="7"/>
  <c r="K8" i="7"/>
  <c r="I16" i="7"/>
  <c r="K5" i="7"/>
  <c r="K16" i="7" s="1"/>
  <c r="J5" i="7"/>
  <c r="J16" i="7" s="1"/>
  <c r="I5" i="7"/>
</calcChain>
</file>

<file path=xl/sharedStrings.xml><?xml version="1.0" encoding="utf-8"?>
<sst xmlns="http://schemas.openxmlformats.org/spreadsheetml/2006/main" count="262" uniqueCount="225">
  <si>
    <t>ENTERPRISE SUPERPOWER CAPACITY PLAN TEMPLATE</t>
  </si>
  <si>
    <t>Unified Capacity Model &amp; Extrapolation Engine (RMT &amp; Livin' Merchant Architecture Integration)</t>
  </si>
  <si>
    <t>1. Metadata &amp; Control Parameter</t>
  </si>
  <si>
    <t>Parameter</t>
  </si>
  <si>
    <t>Nilai</t>
  </si>
  <si>
    <t>Satuan</t>
  </si>
  <si>
    <t>Keterangan / Catatan SLA</t>
  </si>
  <si>
    <t>Nama Aplikasi / System</t>
  </si>
  <si>
    <t>Livin' Merchant &amp; RM Tools (Unified)</t>
  </si>
  <si>
    <t>Text</t>
  </si>
  <si>
    <t>Gabungan Arsitektur Microservice &amp; Middleware</t>
  </si>
  <si>
    <t>Tanggal Penyusunan</t>
  </si>
  <si>
    <t>26 Agustus 2026</t>
  </si>
  <si>
    <t>Date</t>
  </si>
  <si>
    <t>Revisi Terintegrasi Master Template</t>
  </si>
  <si>
    <t>Versi Dokumen</t>
  </si>
  <si>
    <t>v5.0 (Superpower Master)</t>
  </si>
  <si>
    <t>Version</t>
  </si>
  <si>
    <t>Template Gabungan RMT &amp; Livin' Merchant</t>
  </si>
  <si>
    <t>Penyusun (Prepared By)</t>
  </si>
  <si>
    <t>IT Architecture &amp; Capacity Planning Team</t>
  </si>
  <si>
    <t>IT Strategy &amp; Architecture Group</t>
  </si>
  <si>
    <t>Reviewer</t>
  </si>
  <si>
    <t>Department Head IT Digital Channel</t>
  </si>
  <si>
    <t>Reviewer Kesiapan Infrastruktur</t>
  </si>
  <si>
    <t>Target CPU Utilization Threshold</t>
  </si>
  <si>
    <t>Percentage</t>
  </si>
  <si>
    <t>Batas Maksimum CPU Aman (Buffer 60%)</t>
  </si>
  <si>
    <t>Target RAM Utilization Threshold</t>
  </si>
  <si>
    <t>Batas Maksimum Memory Aman (Buffer 30%)</t>
  </si>
  <si>
    <t>Target Storage Utilization Threshold</t>
  </si>
  <si>
    <t>Batas Maksimum Disk Storage Aman</t>
  </si>
  <si>
    <t>High Availability Standard Factor</t>
  </si>
  <si>
    <t>N+1 / Redundant DC-DR</t>
  </si>
  <si>
    <t>Standar Minimasi Single Point of Failure</t>
  </si>
  <si>
    <t>2. Document Change Control</t>
  </si>
  <si>
    <t>Versi</t>
  </si>
  <si>
    <t>Tanggal</t>
  </si>
  <si>
    <t>Penulis</t>
  </si>
  <si>
    <t>Ringkasan Perubahan</t>
  </si>
  <si>
    <t>Dokumen Acuan Base</t>
  </si>
  <si>
    <t>v1.0</t>
  </si>
  <si>
    <t>14/07/2023</t>
  </si>
  <si>
    <t>Solution Architect Team</t>
  </si>
  <si>
    <t>Capacity Plan Baseline Livin' Merchant Phase 1</t>
  </si>
  <si>
    <t>Caplan LM 2023</t>
  </si>
  <si>
    <t>v2.0</t>
  </si>
  <si>
    <t>12/08/2024</t>
  </si>
  <si>
    <t>Capacity Planning Team</t>
  </si>
  <si>
    <t>Capacity Plan Livin' Merchant Phase 3 &amp; 3.1</t>
  </si>
  <si>
    <t>Spek PT LM 3.1</t>
  </si>
  <si>
    <t>v3.0</t>
  </si>
  <si>
    <t>12/05/2025</t>
  </si>
  <si>
    <t>IT Channel Delivery</t>
  </si>
  <si>
    <t>Capacity Plan Livin' Merchant R4 &amp; On Premise</t>
  </si>
  <si>
    <t>Caplan LM R4</t>
  </si>
  <si>
    <t>v4.0</t>
  </si>
  <si>
    <t>23/07/2026</t>
  </si>
  <si>
    <t>RM Tools Dev Team</t>
  </si>
  <si>
    <t>Capacity Plan RM Tools (SATU) R1 2026</t>
  </si>
  <si>
    <t>Caplan RMT 2026</t>
  </si>
  <si>
    <t>v5.0</t>
  </si>
  <si>
    <t>26/08/2026</t>
  </si>
  <si>
    <t>Enterprise Architect</t>
  </si>
  <si>
    <t>Superpower Combined Template &amp; Math Formulas</t>
  </si>
  <si>
    <t>Combined Master Template</t>
  </si>
  <si>
    <t>BUSINESS CAPACITY PLAN &amp; TRANSACTION PROJECTION (2025 - 2029)</t>
  </si>
  <si>
    <t>No</t>
  </si>
  <si>
    <t>Metrik Bisnis / User Segment</t>
  </si>
  <si>
    <t>2025 (Base)</t>
  </si>
  <si>
    <t>2026</t>
  </si>
  <si>
    <t>2027</t>
  </si>
  <si>
    <t>2028</t>
  </si>
  <si>
    <t>2029</t>
  </si>
  <si>
    <t>Growth (%/Thn)</t>
  </si>
  <si>
    <t>Formula / Catatan Proyeksi</t>
  </si>
  <si>
    <t>Jumlah User Merchant / Active User</t>
  </si>
  <si>
    <t>User</t>
  </si>
  <si>
    <t>Pertumbuhan Merchant 15% per tahun</t>
  </si>
  <si>
    <t>Jumlah User Corporate Banking</t>
  </si>
  <si>
    <t>Corporate Banking User Growth</t>
  </si>
  <si>
    <t>Jumlah User Commercial Banking</t>
  </si>
  <si>
    <t>Commercial Banking User Growth</t>
  </si>
  <si>
    <t>Jumlah User SME Banking</t>
  </si>
  <si>
    <t>SME User Growth</t>
  </si>
  <si>
    <t>Jumlah Pipeline TBW</t>
  </si>
  <si>
    <t>Pipeline</t>
  </si>
  <si>
    <t>TBW Pipeline Volume</t>
  </si>
  <si>
    <t>Total Transaksi Harian Puncak</t>
  </si>
  <si>
    <t>Trx/Hari</t>
  </si>
  <si>
    <t>Daily Peak Transactions Growth 20%</t>
  </si>
  <si>
    <t>Jam Sibuk Transaksi (Peak Hours)</t>
  </si>
  <si>
    <t>Jam</t>
  </si>
  <si>
    <t>Asumsi Window Jam Sibuk Operasional</t>
  </si>
  <si>
    <t>Faktor Lonjakan (Concurrency Multiplier)</t>
  </si>
  <si>
    <t>Factor</t>
  </si>
  <si>
    <t>Rasio Puncak / Rata-rata Jam Sibuk</t>
  </si>
  <si>
    <t>Target Calculated Peak TPS</t>
  </si>
  <si>
    <t>TPS</t>
  </si>
  <si>
    <t>TPS Puncak = (TrxHarian * Multiplier) / (PeakHours * 3600)</t>
  </si>
  <si>
    <t>Target Target TPS (Extrapolation Base)</t>
  </si>
  <si>
    <t>Target TPS disesuaikan untuk ekstrapolasi PT</t>
  </si>
  <si>
    <t>PERFORMANCE TEST (PT) BASELINE INPUT DATA</t>
  </si>
  <si>
    <t>Baseline 1: Historical PT Run 1 (e.g. PT R3 Run 97)</t>
  </si>
  <si>
    <t>Baseline 2: Historical PT Run 2 (e.g. PT R4 Run 78)</t>
  </si>
  <si>
    <t>TPS Benchmark 1:</t>
  </si>
  <si>
    <t>TPS Benchmark 2:</t>
  </si>
  <si>
    <t>Component / Service Name</t>
  </si>
  <si>
    <t>Spec Node (Core)</t>
  </si>
  <si>
    <t>Spec Node (RAM GB)</t>
  </si>
  <si>
    <t>Node Qty</t>
  </si>
  <si>
    <t>% CPU Util (PT1)</t>
  </si>
  <si>
    <t>% RAM Util (PT1)</t>
  </si>
  <si>
    <t>% CPU Util (PT2)</t>
  </si>
  <si>
    <t>% RAM Util (PT2)</t>
  </si>
  <si>
    <t>lm-apicore</t>
  </si>
  <si>
    <t>lm-checkout</t>
  </si>
  <si>
    <t>lm-webstore</t>
  </si>
  <si>
    <t>lm-payment</t>
  </si>
  <si>
    <t>lm-scheduler</t>
  </si>
  <si>
    <t>lm-event</t>
  </si>
  <si>
    <t>lm-fnb</t>
  </si>
  <si>
    <t>lm-kiosk</t>
  </si>
  <si>
    <t>lm-syscore</t>
  </si>
  <si>
    <t>lm-report</t>
  </si>
  <si>
    <t>lm-authentication</t>
  </si>
  <si>
    <t>lm-lending</t>
  </si>
  <si>
    <t>Nginx Ingress</t>
  </si>
  <si>
    <t>Redis Cache Cluster</t>
  </si>
  <si>
    <t>Kafka Brokers</t>
  </si>
  <si>
    <t>Elasticsearch Data</t>
  </si>
  <si>
    <t>Database Data Tier</t>
  </si>
  <si>
    <t>Database System Tier</t>
  </si>
  <si>
    <t>POWER-LAW EXTRAPOLATION CALCULATION ENGINE (Resource = a * TPS^b)</t>
  </si>
  <si>
    <t>Component Name</t>
  </si>
  <si>
    <t>Cores PT1</t>
  </si>
  <si>
    <t>Cores PT2</t>
  </si>
  <si>
    <t>Exponent b (CPU)</t>
  </si>
  <si>
    <t>Constant a (CPU)</t>
  </si>
  <si>
    <t>RAM GB PT1</t>
  </si>
  <si>
    <t>RAM GB PT2</t>
  </si>
  <si>
    <t>Exponent b (RAM)</t>
  </si>
  <si>
    <t>Constant a (RAM)</t>
  </si>
  <si>
    <t>2025 Req Core</t>
  </si>
  <si>
    <t>2026 Req Core</t>
  </si>
  <si>
    <t>2027 Req Core</t>
  </si>
  <si>
    <t>2028 Req Core</t>
  </si>
  <si>
    <t>2029 Req Core</t>
  </si>
  <si>
    <t>2025 Node Qty</t>
  </si>
  <si>
    <t>2026 Node Qty</t>
  </si>
  <si>
    <t>2027 Node Qty</t>
  </si>
  <si>
    <t>2028 Node Qty</t>
  </si>
  <si>
    <t>2029 Node Qty</t>
  </si>
  <si>
    <t>DATABASE TIER CAPACITY &amp; 5-YEAR STORAGE FORECAST</t>
  </si>
  <si>
    <t>Database Component</t>
  </si>
  <si>
    <t>Host / Spec</t>
  </si>
  <si>
    <t>Baseline Storage 2025 (GB)</t>
  </si>
  <si>
    <t>Daily Trx 2025</t>
  </si>
  <si>
    <t>Avg Row Size (KB)</t>
  </si>
  <si>
    <t>Index Overhead (%)</t>
  </si>
  <si>
    <t>Annual Data Growth (GB)</t>
  </si>
  <si>
    <t>2026 Disk (GB)</t>
  </si>
  <si>
    <t>2027 Disk (GB)</t>
  </si>
  <si>
    <t>2028 Disk (GB)</t>
  </si>
  <si>
    <t>2029 Disk (GB)</t>
  </si>
  <si>
    <t>RAM Sizing (GB)</t>
  </si>
  <si>
    <t>Livin SQL Data DB 1 (Primary)</t>
  </si>
  <si>
    <t>Standard_E16ds_v5 (16 vCPU)</t>
  </si>
  <si>
    <t>Livin SQL Data DB 2 (Secondary)</t>
  </si>
  <si>
    <t>Livin System DB</t>
  </si>
  <si>
    <t>Oracle RAC Database 1 (RMT)</t>
  </si>
  <si>
    <t>Baremetal 64 Core</t>
  </si>
  <si>
    <t>Oracle RAC Database 2 (RMT)</t>
  </si>
  <si>
    <t>REDIS IN-MEMORY CACHE &amp; MIDDLEWARE CLUSTER SIZING</t>
  </si>
  <si>
    <t>1. Redis Cache In-Memory Sizing Model</t>
  </si>
  <si>
    <t>Parameter Cache</t>
  </si>
  <si>
    <t>Formula &amp; Keterangan</t>
  </si>
  <si>
    <t>Total Active Session Keys</t>
  </si>
  <si>
    <t>Keys</t>
  </si>
  <si>
    <t>Estimasi Total Key Sesi Aktif</t>
  </si>
  <si>
    <t>Average Payload per Key</t>
  </si>
  <si>
    <t>KB</t>
  </si>
  <si>
    <t>Rata-rata Ukuran JSON Data Key</t>
  </si>
  <si>
    <t>Dictionary &amp; Internal Overhead</t>
  </si>
  <si>
    <t>Overhead Memori Redis Internal (20%)</t>
  </si>
  <si>
    <t>Replication Factor (Primary + Replica)</t>
  </si>
  <si>
    <t>Dual Node HA Replication (1 Primary + 1 Replica)</t>
  </si>
  <si>
    <t>Target Maximum Memory Utilization</t>
  </si>
  <si>
    <t>Max Memory Limit (70% Max Eviction Threshold)</t>
  </si>
  <si>
    <t>Calculated Total Redis Memory Needed</t>
  </si>
  <si>
    <t>GB</t>
  </si>
  <si>
    <t>Total Memory Cluster Redis yang Dibutuhkan</t>
  </si>
  <si>
    <t>CONSOLIDATED HARDWARE BILL OF MATERIALS (BOM) &amp; INFRASTRUCTURE SUMMARY</t>
  </si>
  <si>
    <t>System / Tier Component</t>
  </si>
  <si>
    <t>Environment</t>
  </si>
  <si>
    <t>Node Qty 2025</t>
  </si>
  <si>
    <t>Node Qty 2029</t>
  </si>
  <si>
    <t>vCPU / Node</t>
  </si>
  <si>
    <t>RAM GB / Node</t>
  </si>
  <si>
    <t>Storage GB / Node</t>
  </si>
  <si>
    <t>Total vCPU 2029</t>
  </si>
  <si>
    <t>Total RAM GB 2029</t>
  </si>
  <si>
    <t>Total Storage GB 2029</t>
  </si>
  <si>
    <t>License Requirement</t>
  </si>
  <si>
    <t>lm-apicore Microservice</t>
  </si>
  <si>
    <t>OCP Worker</t>
  </si>
  <si>
    <t>OpenShift Subscription</t>
  </si>
  <si>
    <t>lm-checkout Microservice</t>
  </si>
  <si>
    <t>lm-webstore Microservice</t>
  </si>
  <si>
    <t>lm-payment Microservice</t>
  </si>
  <si>
    <t>lm-scheduler Engine</t>
  </si>
  <si>
    <t>VM</t>
  </si>
  <si>
    <t>RHEL OS License</t>
  </si>
  <si>
    <t>Nginx Ingress Gateway</t>
  </si>
  <si>
    <t>Redis Enterprise License</t>
  </si>
  <si>
    <t>Confluent / RHEL License</t>
  </si>
  <si>
    <t>Elasticsearch Cluster</t>
  </si>
  <si>
    <t>Elastic Enterprise License</t>
  </si>
  <si>
    <t>Livin Data DB 1 &amp; 2</t>
  </si>
  <si>
    <t>Azure / Physical</t>
  </si>
  <si>
    <t>SQL Server / Oracle Core</t>
  </si>
  <si>
    <t>Oracle Database RAC (RMT)</t>
  </si>
  <si>
    <t>Baremetal</t>
  </si>
  <si>
    <t>Oracle Enterprise Core (0.5 Factor)</t>
  </si>
  <si>
    <t>TOTAL INFRASTRUCTURE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</si>
</sst>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D9E1F2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/>
    <xf numFmtId="4" fontId="6" fillId="0" borderId="0" xfId="0" applyNumberFormat="1" applyFont="1"/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0" fontId="0" fillId="4" borderId="2" xfId="0" applyFill="1" applyBorder="1"/>
    <xf numFmtId="0" fontId="6" fillId="4" borderId="2" xfId="0" applyFont="1" applyFill="1" applyBorder="1"/>
    <xf numFmtId="3" fontId="6" fillId="4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24"/>
  <sheetViews>
    <sheetView workbookViewId="0">
      <selection sqref="A1:G2"/>
    </sheetView>
  </sheetViews>
  <sheetFormatPr baseColWidth="10" defaultColWidth="8.83203125" defaultRowHeight="15" x14ac:dyDescent="0.2"/>
  <cols>
    <col min="1" max="1" width="97" customWidth="1"/>
    <col min="2" max="2" width="43" customWidth="1"/>
    <col min="3" max="3" width="26" customWidth="1"/>
    <col min="4" max="4" width="49" customWidth="1"/>
    <col min="5" max="5" width="27" customWidth="1"/>
    <col min="6" max="7" width="12" customWidth="1"/>
  </cols>
  <sheetData>
    <row r="1" spans="1:7" x14ac:dyDescent="0.2">
      <c r="A1" s="22" t="s">
        <v>0</v>
      </c>
      <c r="B1" s="21"/>
      <c r="C1" s="21"/>
      <c r="D1" s="21"/>
      <c r="E1" s="21"/>
      <c r="F1" s="21"/>
      <c r="G1" s="21"/>
    </row>
    <row r="2" spans="1:7" x14ac:dyDescent="0.2">
      <c r="A2" s="21"/>
      <c r="B2" s="21"/>
      <c r="C2" s="21"/>
      <c r="D2" s="21"/>
      <c r="E2" s="21"/>
      <c r="F2" s="21"/>
      <c r="G2" s="21"/>
    </row>
    <row r="3" spans="1:7" x14ac:dyDescent="0.2">
      <c r="A3" s="20" t="s">
        <v>1</v>
      </c>
      <c r="B3" s="21"/>
      <c r="C3" s="21"/>
      <c r="D3" s="21"/>
      <c r="E3" s="21"/>
      <c r="F3" s="21"/>
      <c r="G3" s="21"/>
    </row>
    <row r="5" spans="1:7" ht="16" x14ac:dyDescent="0.2">
      <c r="A5" s="1" t="s">
        <v>2</v>
      </c>
    </row>
    <row r="6" spans="1:7" ht="16" x14ac:dyDescent="0.2">
      <c r="A6" s="2" t="s">
        <v>3</v>
      </c>
      <c r="B6" s="2" t="s">
        <v>4</v>
      </c>
      <c r="C6" s="2" t="s">
        <v>5</v>
      </c>
      <c r="D6" s="2" t="s">
        <v>6</v>
      </c>
    </row>
    <row r="7" spans="1:7" ht="16" x14ac:dyDescent="0.2">
      <c r="A7" s="3" t="s">
        <v>7</v>
      </c>
      <c r="B7" s="4" t="s">
        <v>8</v>
      </c>
      <c r="C7" s="4" t="s">
        <v>9</v>
      </c>
      <c r="D7" s="5" t="s">
        <v>10</v>
      </c>
    </row>
    <row r="8" spans="1:7" ht="16" x14ac:dyDescent="0.2">
      <c r="A8" s="3" t="s">
        <v>11</v>
      </c>
      <c r="B8" s="4" t="s">
        <v>12</v>
      </c>
      <c r="C8" s="4" t="s">
        <v>13</v>
      </c>
      <c r="D8" s="5" t="s">
        <v>14</v>
      </c>
    </row>
    <row r="9" spans="1:7" ht="16" x14ac:dyDescent="0.2">
      <c r="A9" s="3" t="s">
        <v>15</v>
      </c>
      <c r="B9" s="4" t="s">
        <v>16</v>
      </c>
      <c r="C9" s="4" t="s">
        <v>17</v>
      </c>
      <c r="D9" s="5" t="s">
        <v>18</v>
      </c>
    </row>
    <row r="10" spans="1:7" ht="16" x14ac:dyDescent="0.2">
      <c r="A10" s="3" t="s">
        <v>19</v>
      </c>
      <c r="B10" s="4" t="s">
        <v>20</v>
      </c>
      <c r="C10" s="4" t="s">
        <v>9</v>
      </c>
      <c r="D10" s="5" t="s">
        <v>21</v>
      </c>
    </row>
    <row r="11" spans="1:7" ht="16" x14ac:dyDescent="0.2">
      <c r="A11" s="3" t="s">
        <v>22</v>
      </c>
      <c r="B11" s="4" t="s">
        <v>23</v>
      </c>
      <c r="C11" s="4" t="s">
        <v>9</v>
      </c>
      <c r="D11" s="5" t="s">
        <v>24</v>
      </c>
    </row>
    <row r="12" spans="1:7" ht="16" x14ac:dyDescent="0.2">
      <c r="A12" s="3" t="s">
        <v>25</v>
      </c>
      <c r="B12" s="6">
        <v>0.4</v>
      </c>
      <c r="C12" s="4" t="s">
        <v>26</v>
      </c>
      <c r="D12" s="5" t="s">
        <v>27</v>
      </c>
    </row>
    <row r="13" spans="1:7" ht="16" x14ac:dyDescent="0.2">
      <c r="A13" s="3" t="s">
        <v>28</v>
      </c>
      <c r="B13" s="6">
        <v>0.7</v>
      </c>
      <c r="C13" s="4" t="s">
        <v>26</v>
      </c>
      <c r="D13" s="5" t="s">
        <v>29</v>
      </c>
    </row>
    <row r="14" spans="1:7" ht="16" x14ac:dyDescent="0.2">
      <c r="A14" s="3" t="s">
        <v>30</v>
      </c>
      <c r="B14" s="6">
        <v>0.8</v>
      </c>
      <c r="C14" s="4" t="s">
        <v>26</v>
      </c>
      <c r="D14" s="5" t="s">
        <v>31</v>
      </c>
    </row>
    <row r="15" spans="1:7" ht="16" x14ac:dyDescent="0.2">
      <c r="A15" s="3" t="s">
        <v>32</v>
      </c>
      <c r="B15" s="4" t="s">
        <v>33</v>
      </c>
      <c r="C15" s="4" t="s">
        <v>9</v>
      </c>
      <c r="D15" s="5" t="s">
        <v>34</v>
      </c>
    </row>
    <row r="18" spans="1:5" ht="16" x14ac:dyDescent="0.2">
      <c r="A18" s="1" t="s">
        <v>35</v>
      </c>
    </row>
    <row r="19" spans="1:5" ht="16" x14ac:dyDescent="0.2">
      <c r="A19" s="2" t="s">
        <v>36</v>
      </c>
      <c r="B19" s="2" t="s">
        <v>37</v>
      </c>
      <c r="C19" s="2" t="s">
        <v>38</v>
      </c>
      <c r="D19" s="2" t="s">
        <v>39</v>
      </c>
      <c r="E19" s="2" t="s">
        <v>40</v>
      </c>
    </row>
    <row r="20" spans="1:5" ht="16" x14ac:dyDescent="0.2">
      <c r="A20" s="4" t="s">
        <v>41</v>
      </c>
      <c r="B20" s="4" t="s">
        <v>42</v>
      </c>
      <c r="C20" s="5" t="s">
        <v>43</v>
      </c>
      <c r="D20" s="5" t="s">
        <v>44</v>
      </c>
      <c r="E20" s="5" t="s">
        <v>45</v>
      </c>
    </row>
    <row r="21" spans="1:5" ht="16" x14ac:dyDescent="0.2">
      <c r="A21" s="4" t="s">
        <v>46</v>
      </c>
      <c r="B21" s="4" t="s">
        <v>47</v>
      </c>
      <c r="C21" s="5" t="s">
        <v>48</v>
      </c>
      <c r="D21" s="5" t="s">
        <v>49</v>
      </c>
      <c r="E21" s="5" t="s">
        <v>50</v>
      </c>
    </row>
    <row r="22" spans="1:5" ht="16" x14ac:dyDescent="0.2">
      <c r="A22" s="4" t="s">
        <v>51</v>
      </c>
      <c r="B22" s="4" t="s">
        <v>52</v>
      </c>
      <c r="C22" s="5" t="s">
        <v>53</v>
      </c>
      <c r="D22" s="5" t="s">
        <v>54</v>
      </c>
      <c r="E22" s="5" t="s">
        <v>55</v>
      </c>
    </row>
    <row r="23" spans="1:5" ht="16" x14ac:dyDescent="0.2">
      <c r="A23" s="4" t="s">
        <v>56</v>
      </c>
      <c r="B23" s="4" t="s">
        <v>57</v>
      </c>
      <c r="C23" s="5" t="s">
        <v>58</v>
      </c>
      <c r="D23" s="5" t="s">
        <v>59</v>
      </c>
      <c r="E23" s="5" t="s">
        <v>60</v>
      </c>
    </row>
    <row r="24" spans="1:5" ht="16" x14ac:dyDescent="0.2">
      <c r="A24" s="4" t="s">
        <v>61</v>
      </c>
      <c r="B24" s="4" t="s">
        <v>62</v>
      </c>
      <c r="C24" s="5" t="s">
        <v>63</v>
      </c>
      <c r="D24" s="5" t="s">
        <v>64</v>
      </c>
      <c r="E24" s="5" t="s">
        <v>65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A1:J13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7.5" customWidth="1"/>
    <col min="2" max="2" width="43" customWidth="1"/>
    <col min="3" max="3" width="12" customWidth="1"/>
    <col min="4" max="8" width="12.6640625" bestFit="1" customWidth="1"/>
    <col min="9" max="9" width="17" customWidth="1"/>
    <col min="10" max="10" width="61" customWidth="1"/>
  </cols>
  <sheetData>
    <row r="1" spans="1:10" ht="16" x14ac:dyDescent="0.2">
      <c r="A1" s="1" t="s">
        <v>66</v>
      </c>
    </row>
    <row r="3" spans="1:10" ht="16" x14ac:dyDescent="0.2">
      <c r="A3" s="2" t="s">
        <v>67</v>
      </c>
      <c r="B3" s="2" t="s">
        <v>68</v>
      </c>
      <c r="C3" s="2" t="s">
        <v>5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</row>
    <row r="4" spans="1:10" x14ac:dyDescent="0.2">
      <c r="A4" s="4">
        <v>1</v>
      </c>
      <c r="B4" s="5" t="s">
        <v>76</v>
      </c>
      <c r="C4" s="5" t="s">
        <v>77</v>
      </c>
      <c r="D4" s="7">
        <v>500000</v>
      </c>
      <c r="E4" s="7">
        <f t="shared" ref="E4:H9" si="0">D4*(1+$I4)</f>
        <v>575000</v>
      </c>
      <c r="F4" s="7">
        <f t="shared" si="0"/>
        <v>661250</v>
      </c>
      <c r="G4" s="7">
        <f t="shared" si="0"/>
        <v>760437.49999999988</v>
      </c>
      <c r="H4" s="7">
        <f t="shared" si="0"/>
        <v>874503.12499999977</v>
      </c>
      <c r="I4" s="6">
        <v>0.15</v>
      </c>
      <c r="J4" s="5" t="s">
        <v>78</v>
      </c>
    </row>
    <row r="5" spans="1:10" x14ac:dyDescent="0.2">
      <c r="A5" s="4">
        <v>2</v>
      </c>
      <c r="B5" s="5" t="s">
        <v>79</v>
      </c>
      <c r="C5" s="5" t="s">
        <v>77</v>
      </c>
      <c r="D5" s="8">
        <v>550</v>
      </c>
      <c r="E5" s="8">
        <f t="shared" si="0"/>
        <v>605</v>
      </c>
      <c r="F5" s="8">
        <f t="shared" si="0"/>
        <v>665.5</v>
      </c>
      <c r="G5" s="8">
        <f t="shared" si="0"/>
        <v>732.05000000000007</v>
      </c>
      <c r="H5" s="8">
        <f t="shared" si="0"/>
        <v>805.25500000000011</v>
      </c>
      <c r="I5" s="6">
        <v>0.1</v>
      </c>
      <c r="J5" s="5" t="s">
        <v>80</v>
      </c>
    </row>
    <row r="6" spans="1:10" x14ac:dyDescent="0.2">
      <c r="A6" s="4">
        <v>3</v>
      </c>
      <c r="B6" s="5" t="s">
        <v>81</v>
      </c>
      <c r="C6" s="5" t="s">
        <v>77</v>
      </c>
      <c r="D6" s="8">
        <v>950</v>
      </c>
      <c r="E6" s="8">
        <f t="shared" si="0"/>
        <v>1045</v>
      </c>
      <c r="F6" s="8">
        <f t="shared" si="0"/>
        <v>1149.5</v>
      </c>
      <c r="G6" s="8">
        <f t="shared" si="0"/>
        <v>1264.45</v>
      </c>
      <c r="H6" s="8">
        <f t="shared" si="0"/>
        <v>1390.8950000000002</v>
      </c>
      <c r="I6" s="6">
        <v>0.1</v>
      </c>
      <c r="J6" s="5" t="s">
        <v>82</v>
      </c>
    </row>
    <row r="7" spans="1:10" x14ac:dyDescent="0.2">
      <c r="A7" s="4">
        <v>4</v>
      </c>
      <c r="B7" s="5" t="s">
        <v>83</v>
      </c>
      <c r="C7" s="5" t="s">
        <v>77</v>
      </c>
      <c r="D7" s="8">
        <v>1000</v>
      </c>
      <c r="E7" s="8">
        <f t="shared" si="0"/>
        <v>1100</v>
      </c>
      <c r="F7" s="8">
        <f t="shared" si="0"/>
        <v>1210</v>
      </c>
      <c r="G7" s="8">
        <f t="shared" si="0"/>
        <v>1331</v>
      </c>
      <c r="H7" s="8">
        <f t="shared" si="0"/>
        <v>1464.1000000000001</v>
      </c>
      <c r="I7" s="6">
        <v>0.1</v>
      </c>
      <c r="J7" s="5" t="s">
        <v>84</v>
      </c>
    </row>
    <row r="8" spans="1:10" x14ac:dyDescent="0.2">
      <c r="A8" s="4">
        <v>5</v>
      </c>
      <c r="B8" s="5" t="s">
        <v>85</v>
      </c>
      <c r="C8" s="5" t="s">
        <v>86</v>
      </c>
      <c r="D8" s="8">
        <v>120000</v>
      </c>
      <c r="E8" s="8">
        <f t="shared" si="0"/>
        <v>132000</v>
      </c>
      <c r="F8" s="8">
        <f t="shared" si="0"/>
        <v>145200</v>
      </c>
      <c r="G8" s="8">
        <f t="shared" si="0"/>
        <v>159720</v>
      </c>
      <c r="H8" s="8">
        <f t="shared" si="0"/>
        <v>175692</v>
      </c>
      <c r="I8" s="6">
        <v>0.1</v>
      </c>
      <c r="J8" s="5" t="s">
        <v>87</v>
      </c>
    </row>
    <row r="9" spans="1:10" x14ac:dyDescent="0.2">
      <c r="A9" s="4">
        <v>6</v>
      </c>
      <c r="B9" s="5" t="s">
        <v>88</v>
      </c>
      <c r="C9" s="5" t="s">
        <v>89</v>
      </c>
      <c r="D9" s="7">
        <v>15000000</v>
      </c>
      <c r="E9" s="7">
        <f t="shared" si="0"/>
        <v>18000000</v>
      </c>
      <c r="F9" s="7">
        <f t="shared" si="0"/>
        <v>21600000</v>
      </c>
      <c r="G9" s="7">
        <f t="shared" si="0"/>
        <v>25920000</v>
      </c>
      <c r="H9" s="7">
        <f t="shared" si="0"/>
        <v>31104000</v>
      </c>
      <c r="I9" s="6">
        <v>0.2</v>
      </c>
      <c r="J9" s="5" t="s">
        <v>90</v>
      </c>
    </row>
    <row r="10" spans="1:10" x14ac:dyDescent="0.2">
      <c r="A10" s="4">
        <v>7</v>
      </c>
      <c r="B10" s="5" t="s">
        <v>91</v>
      </c>
      <c r="C10" s="5" t="s">
        <v>92</v>
      </c>
      <c r="D10" s="9">
        <v>8</v>
      </c>
      <c r="E10" s="9">
        <v>8</v>
      </c>
      <c r="F10" s="9">
        <v>8</v>
      </c>
      <c r="G10" s="9">
        <v>8</v>
      </c>
      <c r="H10" s="9">
        <v>8</v>
      </c>
      <c r="I10" s="6">
        <v>0</v>
      </c>
      <c r="J10" s="5" t="s">
        <v>93</v>
      </c>
    </row>
    <row r="11" spans="1:10" x14ac:dyDescent="0.2">
      <c r="A11" s="4">
        <v>8</v>
      </c>
      <c r="B11" s="5" t="s">
        <v>94</v>
      </c>
      <c r="C11" s="5" t="s">
        <v>95</v>
      </c>
      <c r="D11" s="9">
        <v>1.8</v>
      </c>
      <c r="E11" s="9">
        <v>1.8</v>
      </c>
      <c r="F11" s="9">
        <v>1.8</v>
      </c>
      <c r="G11" s="9">
        <v>1.8</v>
      </c>
      <c r="H11" s="9">
        <v>1.8</v>
      </c>
      <c r="I11" s="6">
        <v>0</v>
      </c>
      <c r="J11" s="5" t="s">
        <v>96</v>
      </c>
    </row>
    <row r="12" spans="1:10" x14ac:dyDescent="0.2">
      <c r="A12" s="4">
        <v>9</v>
      </c>
      <c r="B12" s="5" t="s">
        <v>97</v>
      </c>
      <c r="C12" s="5" t="s">
        <v>98</v>
      </c>
      <c r="D12" s="7">
        <f>(D9*D11)/(D10*3600)</f>
        <v>937.5</v>
      </c>
      <c r="E12" s="7">
        <f>(E9*E11)/(E10*3600)</f>
        <v>1125</v>
      </c>
      <c r="F12" s="7">
        <f>(F9*F11)/(F10*3600)</f>
        <v>1350</v>
      </c>
      <c r="G12" s="7">
        <f>(G9*G11)/(G10*3600)</f>
        <v>1620</v>
      </c>
      <c r="H12" s="7">
        <f>(H9*H11)/(H10*3600)</f>
        <v>1944</v>
      </c>
      <c r="I12" s="6">
        <v>0.2</v>
      </c>
      <c r="J12" s="5" t="s">
        <v>99</v>
      </c>
    </row>
    <row r="13" spans="1:10" x14ac:dyDescent="0.2">
      <c r="A13" s="4">
        <v>10</v>
      </c>
      <c r="B13" s="5" t="s">
        <v>100</v>
      </c>
      <c r="C13" s="5" t="s">
        <v>98</v>
      </c>
      <c r="D13" s="7">
        <v>526.07000000000005</v>
      </c>
      <c r="E13" s="7">
        <f>D13*(1+$I13)</f>
        <v>604.98050000000001</v>
      </c>
      <c r="F13" s="7">
        <f>E13*(1+$I13)</f>
        <v>695.727575</v>
      </c>
      <c r="G13" s="7">
        <f>F13*(1+$I13)</f>
        <v>800.08671124999989</v>
      </c>
      <c r="H13" s="7">
        <f>G13*(1+$I13)</f>
        <v>920.0997179374998</v>
      </c>
      <c r="I13" s="6">
        <v>0.15</v>
      </c>
      <c r="J13" s="5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24"/>
  <sheetViews>
    <sheetView workbookViewId="0"/>
  </sheetViews>
  <sheetFormatPr baseColWidth="10" defaultColWidth="8.83203125" defaultRowHeight="15" x14ac:dyDescent="0.2"/>
  <cols>
    <col min="1" max="1" width="54" customWidth="1"/>
    <col min="2" max="2" width="27" customWidth="1"/>
    <col min="3" max="3" width="19" customWidth="1"/>
    <col min="4" max="4" width="21" customWidth="1"/>
    <col min="5" max="5" width="12" customWidth="1"/>
    <col min="6" max="6" width="54" customWidth="1"/>
    <col min="7" max="9" width="19" customWidth="1"/>
  </cols>
  <sheetData>
    <row r="1" spans="1:9" ht="16" x14ac:dyDescent="0.2">
      <c r="A1" s="1" t="s">
        <v>102</v>
      </c>
    </row>
    <row r="3" spans="1:9" x14ac:dyDescent="0.2">
      <c r="A3" s="10" t="s">
        <v>103</v>
      </c>
      <c r="F3" s="10" t="s">
        <v>104</v>
      </c>
    </row>
    <row r="4" spans="1:9" x14ac:dyDescent="0.2">
      <c r="A4" t="s">
        <v>105</v>
      </c>
      <c r="B4" s="11">
        <v>239.92</v>
      </c>
      <c r="F4" t="s">
        <v>106</v>
      </c>
      <c r="G4" s="11">
        <v>670.98</v>
      </c>
    </row>
    <row r="6" spans="1:9" ht="16" x14ac:dyDescent="0.2">
      <c r="A6" s="2" t="s">
        <v>67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  <c r="H6" s="2" t="s">
        <v>113</v>
      </c>
      <c r="I6" s="2" t="s">
        <v>114</v>
      </c>
    </row>
    <row r="7" spans="1:9" x14ac:dyDescent="0.2">
      <c r="A7" s="4">
        <v>1</v>
      </c>
      <c r="B7" s="5" t="s">
        <v>115</v>
      </c>
      <c r="C7" s="4">
        <v>4</v>
      </c>
      <c r="D7" s="4">
        <v>16</v>
      </c>
      <c r="E7" s="4">
        <v>20</v>
      </c>
      <c r="F7" s="12">
        <v>5.79</v>
      </c>
      <c r="G7" s="12">
        <v>16.22</v>
      </c>
      <c r="H7" s="12">
        <v>31.73</v>
      </c>
      <c r="I7" s="12">
        <v>18.21</v>
      </c>
    </row>
    <row r="8" spans="1:9" x14ac:dyDescent="0.2">
      <c r="A8" s="4">
        <v>2</v>
      </c>
      <c r="B8" s="5" t="s">
        <v>116</v>
      </c>
      <c r="C8" s="4">
        <v>4</v>
      </c>
      <c r="D8" s="4">
        <v>16</v>
      </c>
      <c r="E8" s="4">
        <v>9</v>
      </c>
      <c r="F8" s="12">
        <v>4.5</v>
      </c>
      <c r="G8" s="12">
        <v>14.1</v>
      </c>
      <c r="H8" s="12">
        <v>24.8</v>
      </c>
      <c r="I8" s="12">
        <v>16.5</v>
      </c>
    </row>
    <row r="9" spans="1:9" x14ac:dyDescent="0.2">
      <c r="A9" s="4">
        <v>3</v>
      </c>
      <c r="B9" s="5" t="s">
        <v>117</v>
      </c>
      <c r="C9" s="4">
        <v>4</v>
      </c>
      <c r="D9" s="4">
        <v>16</v>
      </c>
      <c r="E9" s="4">
        <v>4</v>
      </c>
      <c r="F9" s="12">
        <v>3.2</v>
      </c>
      <c r="G9" s="12">
        <v>12</v>
      </c>
      <c r="H9" s="12">
        <v>18.399999999999999</v>
      </c>
      <c r="I9" s="12">
        <v>14.2</v>
      </c>
    </row>
    <row r="10" spans="1:9" x14ac:dyDescent="0.2">
      <c r="A10" s="4">
        <v>4</v>
      </c>
      <c r="B10" s="5" t="s">
        <v>118</v>
      </c>
      <c r="C10" s="4">
        <v>4</v>
      </c>
      <c r="D10" s="4">
        <v>16</v>
      </c>
      <c r="E10" s="4">
        <v>13</v>
      </c>
      <c r="F10" s="12">
        <v>6.1</v>
      </c>
      <c r="G10" s="12">
        <v>18.5</v>
      </c>
      <c r="H10" s="12">
        <v>34.200000000000003</v>
      </c>
      <c r="I10" s="12">
        <v>21.4</v>
      </c>
    </row>
    <row r="11" spans="1:9" x14ac:dyDescent="0.2">
      <c r="A11" s="4">
        <v>5</v>
      </c>
      <c r="B11" s="5" t="s">
        <v>119</v>
      </c>
      <c r="C11" s="4">
        <v>16</v>
      </c>
      <c r="D11" s="4">
        <v>32</v>
      </c>
      <c r="E11" s="4">
        <v>1</v>
      </c>
      <c r="F11" s="12">
        <v>12</v>
      </c>
      <c r="G11" s="12">
        <v>25</v>
      </c>
      <c r="H11" s="12">
        <v>28</v>
      </c>
      <c r="I11" s="12">
        <v>30</v>
      </c>
    </row>
    <row r="12" spans="1:9" x14ac:dyDescent="0.2">
      <c r="A12" s="4">
        <v>6</v>
      </c>
      <c r="B12" s="5" t="s">
        <v>120</v>
      </c>
      <c r="C12" s="4">
        <v>4</v>
      </c>
      <c r="D12" s="4">
        <v>16</v>
      </c>
      <c r="E12" s="4">
        <v>2</v>
      </c>
      <c r="F12" s="12">
        <v>2.5</v>
      </c>
      <c r="G12" s="12">
        <v>10</v>
      </c>
      <c r="H12" s="12">
        <v>14.1</v>
      </c>
      <c r="I12" s="12">
        <v>12.5</v>
      </c>
    </row>
    <row r="13" spans="1:9" x14ac:dyDescent="0.2">
      <c r="A13" s="4">
        <v>7</v>
      </c>
      <c r="B13" s="5" t="s">
        <v>121</v>
      </c>
      <c r="C13" s="4">
        <v>4</v>
      </c>
      <c r="D13" s="4">
        <v>16</v>
      </c>
      <c r="E13" s="4">
        <v>2</v>
      </c>
      <c r="F13" s="12">
        <v>2.1</v>
      </c>
      <c r="G13" s="12">
        <v>9.5</v>
      </c>
      <c r="H13" s="12">
        <v>12.4</v>
      </c>
      <c r="I13" s="12">
        <v>11.2</v>
      </c>
    </row>
    <row r="14" spans="1:9" x14ac:dyDescent="0.2">
      <c r="A14" s="4">
        <v>8</v>
      </c>
      <c r="B14" s="5" t="s">
        <v>122</v>
      </c>
      <c r="C14" s="4">
        <v>4</v>
      </c>
      <c r="D14" s="4">
        <v>16</v>
      </c>
      <c r="E14" s="4">
        <v>2</v>
      </c>
      <c r="F14" s="12">
        <v>1.8</v>
      </c>
      <c r="G14" s="12">
        <v>8</v>
      </c>
      <c r="H14" s="12">
        <v>10.5</v>
      </c>
      <c r="I14" s="12">
        <v>9.8000000000000007</v>
      </c>
    </row>
    <row r="15" spans="1:9" x14ac:dyDescent="0.2">
      <c r="A15" s="4">
        <v>9</v>
      </c>
      <c r="B15" s="5" t="s">
        <v>123</v>
      </c>
      <c r="C15" s="4">
        <v>4</v>
      </c>
      <c r="D15" s="4">
        <v>16</v>
      </c>
      <c r="E15" s="4">
        <v>2</v>
      </c>
      <c r="F15" s="12">
        <v>3.5</v>
      </c>
      <c r="G15" s="12">
        <v>11</v>
      </c>
      <c r="H15" s="12">
        <v>19.2</v>
      </c>
      <c r="I15" s="12">
        <v>13.5</v>
      </c>
    </row>
    <row r="16" spans="1:9" x14ac:dyDescent="0.2">
      <c r="A16" s="4">
        <v>10</v>
      </c>
      <c r="B16" s="5" t="s">
        <v>124</v>
      </c>
      <c r="C16" s="4">
        <v>4</v>
      </c>
      <c r="D16" s="4">
        <v>16</v>
      </c>
      <c r="E16" s="4">
        <v>2</v>
      </c>
      <c r="F16" s="12">
        <v>8</v>
      </c>
      <c r="G16" s="12">
        <v>22</v>
      </c>
      <c r="H16" s="12">
        <v>42</v>
      </c>
      <c r="I16" s="12">
        <v>26</v>
      </c>
    </row>
    <row r="17" spans="1:9" x14ac:dyDescent="0.2">
      <c r="A17" s="4">
        <v>11</v>
      </c>
      <c r="B17" s="5" t="s">
        <v>125</v>
      </c>
      <c r="C17" s="4">
        <v>4</v>
      </c>
      <c r="D17" s="4">
        <v>16</v>
      </c>
      <c r="E17" s="4">
        <v>2</v>
      </c>
      <c r="F17" s="12">
        <v>4.2</v>
      </c>
      <c r="G17" s="12">
        <v>15</v>
      </c>
      <c r="H17" s="12">
        <v>22.1</v>
      </c>
      <c r="I17" s="12">
        <v>17.5</v>
      </c>
    </row>
    <row r="18" spans="1:9" x14ac:dyDescent="0.2">
      <c r="A18" s="4">
        <v>12</v>
      </c>
      <c r="B18" s="5" t="s">
        <v>126</v>
      </c>
      <c r="C18" s="4">
        <v>4</v>
      </c>
      <c r="D18" s="4">
        <v>16</v>
      </c>
      <c r="E18" s="4">
        <v>2</v>
      </c>
      <c r="F18" s="12">
        <v>2.8</v>
      </c>
      <c r="G18" s="12">
        <v>12</v>
      </c>
      <c r="H18" s="12">
        <v>15.6</v>
      </c>
      <c r="I18" s="12">
        <v>14</v>
      </c>
    </row>
    <row r="19" spans="1:9" x14ac:dyDescent="0.2">
      <c r="A19" s="4">
        <v>13</v>
      </c>
      <c r="B19" s="5" t="s">
        <v>127</v>
      </c>
      <c r="C19" s="4">
        <v>8</v>
      </c>
      <c r="D19" s="4">
        <v>16</v>
      </c>
      <c r="E19" s="4">
        <v>2</v>
      </c>
      <c r="F19" s="12">
        <v>3.75</v>
      </c>
      <c r="G19" s="12">
        <v>12.5</v>
      </c>
      <c r="H19" s="12">
        <v>10.26</v>
      </c>
      <c r="I19" s="12">
        <v>14.8</v>
      </c>
    </row>
    <row r="20" spans="1:9" x14ac:dyDescent="0.2">
      <c r="A20" s="4">
        <v>14</v>
      </c>
      <c r="B20" s="5" t="s">
        <v>128</v>
      </c>
      <c r="C20" s="4">
        <v>8</v>
      </c>
      <c r="D20" s="4">
        <v>16</v>
      </c>
      <c r="E20" s="4">
        <v>3</v>
      </c>
      <c r="F20" s="12">
        <v>4.5</v>
      </c>
      <c r="G20" s="12">
        <v>28</v>
      </c>
      <c r="H20" s="12">
        <v>18.5</v>
      </c>
      <c r="I20" s="12">
        <v>45</v>
      </c>
    </row>
    <row r="21" spans="1:9" x14ac:dyDescent="0.2">
      <c r="A21" s="4">
        <v>15</v>
      </c>
      <c r="B21" s="5" t="s">
        <v>129</v>
      </c>
      <c r="C21" s="4">
        <v>16</v>
      </c>
      <c r="D21" s="4">
        <v>32</v>
      </c>
      <c r="E21" s="4">
        <v>3</v>
      </c>
      <c r="F21" s="12">
        <v>8.1999999999999993</v>
      </c>
      <c r="G21" s="12">
        <v>35</v>
      </c>
      <c r="H21" s="12">
        <v>26.4</v>
      </c>
      <c r="I21" s="12">
        <v>48</v>
      </c>
    </row>
    <row r="22" spans="1:9" x14ac:dyDescent="0.2">
      <c r="A22" s="4">
        <v>16</v>
      </c>
      <c r="B22" s="5" t="s">
        <v>130</v>
      </c>
      <c r="C22" s="4">
        <v>8</v>
      </c>
      <c r="D22" s="4">
        <v>32</v>
      </c>
      <c r="E22" s="4">
        <v>2</v>
      </c>
      <c r="F22" s="12">
        <v>15</v>
      </c>
      <c r="G22" s="12">
        <v>55</v>
      </c>
      <c r="H22" s="12">
        <v>48</v>
      </c>
      <c r="I22" s="12">
        <v>68</v>
      </c>
    </row>
    <row r="23" spans="1:9" x14ac:dyDescent="0.2">
      <c r="A23" s="4">
        <v>17</v>
      </c>
      <c r="B23" s="5" t="s">
        <v>131</v>
      </c>
      <c r="C23" s="4">
        <v>32</v>
      </c>
      <c r="D23" s="4">
        <v>512</v>
      </c>
      <c r="E23" s="4">
        <v>1</v>
      </c>
      <c r="F23" s="12">
        <v>22</v>
      </c>
      <c r="G23" s="12">
        <v>60</v>
      </c>
      <c r="H23" s="12">
        <v>68</v>
      </c>
      <c r="I23" s="12">
        <v>78</v>
      </c>
    </row>
    <row r="24" spans="1:9" x14ac:dyDescent="0.2">
      <c r="A24" s="4">
        <v>18</v>
      </c>
      <c r="B24" s="5" t="s">
        <v>132</v>
      </c>
      <c r="C24" s="4">
        <v>32</v>
      </c>
      <c r="D24" s="4">
        <v>512</v>
      </c>
      <c r="E24" s="4">
        <v>1</v>
      </c>
      <c r="F24" s="12">
        <v>14</v>
      </c>
      <c r="G24" s="12">
        <v>45</v>
      </c>
      <c r="H24" s="12">
        <v>42</v>
      </c>
      <c r="I24" s="12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T21"/>
  <sheetViews>
    <sheetView workbookViewId="0"/>
  </sheetViews>
  <sheetFormatPr baseColWidth="10" defaultColWidth="8.83203125" defaultRowHeight="15" x14ac:dyDescent="0.2"/>
  <cols>
    <col min="1" max="1" width="68" customWidth="1"/>
    <col min="2" max="2" width="17" customWidth="1"/>
    <col min="3" max="4" width="12" customWidth="1"/>
    <col min="5" max="6" width="19" customWidth="1"/>
    <col min="7" max="8" width="13" customWidth="1"/>
    <col min="9" max="10" width="19" customWidth="1"/>
    <col min="11" max="20" width="16" customWidth="1"/>
  </cols>
  <sheetData>
    <row r="1" spans="1:20" ht="16" x14ac:dyDescent="0.2">
      <c r="A1" s="1" t="s">
        <v>133</v>
      </c>
    </row>
    <row r="3" spans="1:20" ht="16" x14ac:dyDescent="0.2">
      <c r="A3" s="2" t="s">
        <v>67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  <c r="G3" s="2" t="s">
        <v>139</v>
      </c>
      <c r="H3" s="2" t="s">
        <v>140</v>
      </c>
      <c r="I3" s="2" t="s">
        <v>141</v>
      </c>
      <c r="J3" s="2" t="s">
        <v>142</v>
      </c>
      <c r="K3" s="2" t="s">
        <v>143</v>
      </c>
      <c r="L3" s="2" t="s">
        <v>144</v>
      </c>
      <c r="M3" s="2" t="s">
        <v>145</v>
      </c>
      <c r="N3" s="2" t="s">
        <v>146</v>
      </c>
      <c r="O3" s="2" t="s">
        <v>147</v>
      </c>
      <c r="P3" s="2" t="s">
        <v>148</v>
      </c>
      <c r="Q3" s="2" t="s">
        <v>149</v>
      </c>
      <c r="R3" s="2" t="s">
        <v>150</v>
      </c>
      <c r="S3" s="2" t="s">
        <v>151</v>
      </c>
      <c r="T3" s="2" t="s">
        <v>152</v>
      </c>
    </row>
    <row r="4" spans="1:20" x14ac:dyDescent="0.2">
      <c r="A4" s="4">
        <v>1</v>
      </c>
      <c r="B4" s="13" t="str">
        <f>'03_PT_Baseline_Data'!B7</f>
        <v>lm-apicore</v>
      </c>
      <c r="C4" s="8">
        <f>('03_PT_Baseline_Data'!F7*'03_PT_Baseline_Data'!C7*'03_PT_Baseline_Data'!E7)/100</f>
        <v>4.6319999999999997</v>
      </c>
      <c r="D4" s="8">
        <f>('03_PT_Baseline_Data'!H7*'03_PT_Baseline_Data'!C7*'03_PT_Baseline_Data'!E7)/100</f>
        <v>25.384</v>
      </c>
      <c r="E4" s="14">
        <f>LN(D4/C4)/LN('03_PT_Baseline_Data'!$G$4/'03_PT_Baseline_Data'!$B$4)</f>
        <v>1.654098028392389</v>
      </c>
      <c r="F4" s="14">
        <f>C4/('03_PT_Baseline_Data'!$B$4^E4)</f>
        <v>5.3567986654475344E-4</v>
      </c>
      <c r="G4" s="8">
        <f>('03_PT_Baseline_Data'!G7*'03_PT_Baseline_Data'!D7*'03_PT_Baseline_Data'!E7)/100</f>
        <v>51.903999999999996</v>
      </c>
      <c r="H4" s="8">
        <f>('03_PT_Baseline_Data'!I7*'03_PT_Baseline_Data'!D7*'03_PT_Baseline_Data'!E7)/100</f>
        <v>58.272000000000006</v>
      </c>
      <c r="I4" s="14">
        <f>LN(H4/G4)/LN('03_PT_Baseline_Data'!$G$4/'03_PT_Baseline_Data'!$B$4)</f>
        <v>0.11252629534519119</v>
      </c>
      <c r="J4" s="14">
        <f>G4/('03_PT_Baseline_Data'!$B$4^I4)</f>
        <v>28.01436401980316</v>
      </c>
      <c r="K4" s="8">
        <f>ROUNDUP(($F4*('01_Business_Growth_Plan'!D13^$E4))/'00_Cover_&amp;_Control'!$B$12, 0)</f>
        <v>43</v>
      </c>
      <c r="L4" s="8">
        <f>ROUNDUP(($F4*('01_Business_Growth_Plan'!E13^$E4))/'00_Cover_&amp;_Control'!$B$12, 0)</f>
        <v>54</v>
      </c>
      <c r="M4" s="8">
        <f>ROUNDUP(($F4*('01_Business_Growth_Plan'!F13^$E4))/'00_Cover_&amp;_Control'!$B$12, 0)</f>
        <v>68</v>
      </c>
      <c r="N4" s="8">
        <f>ROUNDUP(($F4*('01_Business_Growth_Plan'!G13^$E4))/'00_Cover_&amp;_Control'!$B$12, 0)</f>
        <v>85</v>
      </c>
      <c r="O4" s="8">
        <f>ROUNDUP(($F4*('01_Business_Growth_Plan'!H13^$E4))/'00_Cover_&amp;_Control'!$B$12, 0)</f>
        <v>107</v>
      </c>
      <c r="P4" s="8">
        <f>ROUNDUP(K4/'03_PT_Baseline_Data'!C7, 0)</f>
        <v>11</v>
      </c>
      <c r="Q4" s="8">
        <f>ROUNDUP(L4/'03_PT_Baseline_Data'!C7, 0)</f>
        <v>14</v>
      </c>
      <c r="R4" s="8">
        <f>ROUNDUP(M4/'03_PT_Baseline_Data'!C7, 0)</f>
        <v>17</v>
      </c>
      <c r="S4" s="8">
        <f>ROUNDUP(N4/'03_PT_Baseline_Data'!C7, 0)</f>
        <v>22</v>
      </c>
      <c r="T4" s="8">
        <f>ROUNDUP(O4/'03_PT_Baseline_Data'!C7, 0)</f>
        <v>27</v>
      </c>
    </row>
    <row r="5" spans="1:20" x14ac:dyDescent="0.2">
      <c r="A5" s="4">
        <v>2</v>
      </c>
      <c r="B5" s="13" t="str">
        <f>'03_PT_Baseline_Data'!B8</f>
        <v>lm-checkout</v>
      </c>
      <c r="C5" s="8">
        <f>('03_PT_Baseline_Data'!F8*'03_PT_Baseline_Data'!C8*'03_PT_Baseline_Data'!E8)/100</f>
        <v>1.62</v>
      </c>
      <c r="D5" s="8">
        <f>('03_PT_Baseline_Data'!H8*'03_PT_Baseline_Data'!C8*'03_PT_Baseline_Data'!E8)/100</f>
        <v>8.9280000000000008</v>
      </c>
      <c r="E5" s="14">
        <f>LN(D5/C5)/LN('03_PT_Baseline_Data'!$G$4/'03_PT_Baseline_Data'!$B$4)</f>
        <v>1.6595781501146898</v>
      </c>
      <c r="F5" s="14">
        <f>C5/('03_PT_Baseline_Data'!$B$4^E5)</f>
        <v>1.8180621849439558E-4</v>
      </c>
      <c r="G5" s="8">
        <f>('03_PT_Baseline_Data'!G8*'03_PT_Baseline_Data'!D8*'03_PT_Baseline_Data'!E8)/100</f>
        <v>20.303999999999998</v>
      </c>
      <c r="H5" s="8">
        <f>('03_PT_Baseline_Data'!I8*'03_PT_Baseline_Data'!D8*'03_PT_Baseline_Data'!E8)/100</f>
        <v>23.76</v>
      </c>
      <c r="I5" s="14">
        <f>LN(H5/G5)/LN('03_PT_Baseline_Data'!$G$4/'03_PT_Baseline_Data'!$B$4)</f>
        <v>0.15283976874364885</v>
      </c>
      <c r="J5" s="14">
        <f>G5/('03_PT_Baseline_Data'!$B$4^I5)</f>
        <v>8.7864369816098939</v>
      </c>
      <c r="K5" s="8">
        <f>ROUNDUP(($F5*('01_Business_Growth_Plan'!D13^$E5))/'00_Cover_&amp;_Control'!$B$12, 0)</f>
        <v>15</v>
      </c>
      <c r="L5" s="8">
        <f>ROUNDUP(($F5*('01_Business_Growth_Plan'!E13^$E5))/'00_Cover_&amp;_Control'!$B$12, 0)</f>
        <v>19</v>
      </c>
      <c r="M5" s="8">
        <f>ROUNDUP(($F5*('01_Business_Growth_Plan'!F13^$E5))/'00_Cover_&amp;_Control'!$B$12, 0)</f>
        <v>24</v>
      </c>
      <c r="N5" s="8">
        <f>ROUNDUP(($F5*('01_Business_Growth_Plan'!G13^$E5))/'00_Cover_&amp;_Control'!$B$12, 0)</f>
        <v>30</v>
      </c>
      <c r="O5" s="8">
        <f>ROUNDUP(($F5*('01_Business_Growth_Plan'!H13^$E5))/'00_Cover_&amp;_Control'!$B$12, 0)</f>
        <v>38</v>
      </c>
      <c r="P5" s="8">
        <f>ROUNDUP(K5/'03_PT_Baseline_Data'!C8, 0)</f>
        <v>4</v>
      </c>
      <c r="Q5" s="8">
        <f>ROUNDUP(L5/'03_PT_Baseline_Data'!C8, 0)</f>
        <v>5</v>
      </c>
      <c r="R5" s="8">
        <f>ROUNDUP(M5/'03_PT_Baseline_Data'!C8, 0)</f>
        <v>6</v>
      </c>
      <c r="S5" s="8">
        <f>ROUNDUP(N5/'03_PT_Baseline_Data'!C8, 0)</f>
        <v>8</v>
      </c>
      <c r="T5" s="8">
        <f>ROUNDUP(O5/'03_PT_Baseline_Data'!C8, 0)</f>
        <v>10</v>
      </c>
    </row>
    <row r="6" spans="1:20" x14ac:dyDescent="0.2">
      <c r="A6" s="4">
        <v>3</v>
      </c>
      <c r="B6" s="13" t="str">
        <f>'03_PT_Baseline_Data'!B9</f>
        <v>lm-webstore</v>
      </c>
      <c r="C6" s="8">
        <f>('03_PT_Baseline_Data'!F9*'03_PT_Baseline_Data'!C9*'03_PT_Baseline_Data'!E9)/100</f>
        <v>0.51200000000000001</v>
      </c>
      <c r="D6" s="8">
        <f>('03_PT_Baseline_Data'!H9*'03_PT_Baseline_Data'!C9*'03_PT_Baseline_Data'!E9)/100</f>
        <v>2.944</v>
      </c>
      <c r="E6" s="14">
        <f>LN(D6/C6)/LN('03_PT_Baseline_Data'!$G$4/'03_PT_Baseline_Data'!$B$4)</f>
        <v>1.700838558501462</v>
      </c>
      <c r="F6" s="14">
        <f>C6/('03_PT_Baseline_Data'!$B$4^E6)</f>
        <v>4.5831193435833786E-5</v>
      </c>
      <c r="G6" s="8">
        <f>('03_PT_Baseline_Data'!G9*'03_PT_Baseline_Data'!D9*'03_PT_Baseline_Data'!E9)/100</f>
        <v>7.68</v>
      </c>
      <c r="H6" s="8">
        <f>('03_PT_Baseline_Data'!I9*'03_PT_Baseline_Data'!D9*'03_PT_Baseline_Data'!E9)/100</f>
        <v>9.0879999999999992</v>
      </c>
      <c r="I6" s="14">
        <f>LN(H6/G6)/LN('03_PT_Baseline_Data'!$G$4/'03_PT_Baseline_Data'!$B$4)</f>
        <v>0.16368123597473297</v>
      </c>
      <c r="J6" s="14">
        <f>G6/('03_PT_Baseline_Data'!$B$4^I6)</f>
        <v>3.1317638111136716</v>
      </c>
      <c r="K6" s="8">
        <f>ROUNDUP(($F6*('01_Business_Growth_Plan'!D13^$E6))/'00_Cover_&amp;_Control'!$B$12, 0)</f>
        <v>5</v>
      </c>
      <c r="L6" s="8">
        <f>ROUNDUP(($F6*('01_Business_Growth_Plan'!E13^$E6))/'00_Cover_&amp;_Control'!$B$12, 0)</f>
        <v>7</v>
      </c>
      <c r="M6" s="8">
        <f>ROUNDUP(($F6*('01_Business_Growth_Plan'!F13^$E6))/'00_Cover_&amp;_Control'!$B$12, 0)</f>
        <v>8</v>
      </c>
      <c r="N6" s="8">
        <f>ROUNDUP(($F6*('01_Business_Growth_Plan'!G13^$E6))/'00_Cover_&amp;_Control'!$B$12, 0)</f>
        <v>10</v>
      </c>
      <c r="O6" s="8">
        <f>ROUNDUP(($F6*('01_Business_Growth_Plan'!H13^$E6))/'00_Cover_&amp;_Control'!$B$12, 0)</f>
        <v>13</v>
      </c>
      <c r="P6" s="8">
        <f>ROUNDUP(K6/'03_PT_Baseline_Data'!C9, 0)</f>
        <v>2</v>
      </c>
      <c r="Q6" s="8">
        <f>ROUNDUP(L6/'03_PT_Baseline_Data'!C9, 0)</f>
        <v>2</v>
      </c>
      <c r="R6" s="8">
        <f>ROUNDUP(M6/'03_PT_Baseline_Data'!C9, 0)</f>
        <v>2</v>
      </c>
      <c r="S6" s="8">
        <f>ROUNDUP(N6/'03_PT_Baseline_Data'!C9, 0)</f>
        <v>3</v>
      </c>
      <c r="T6" s="8">
        <f>ROUNDUP(O6/'03_PT_Baseline_Data'!C9, 0)</f>
        <v>4</v>
      </c>
    </row>
    <row r="7" spans="1:20" x14ac:dyDescent="0.2">
      <c r="A7" s="4">
        <v>4</v>
      </c>
      <c r="B7" s="13" t="str">
        <f>'03_PT_Baseline_Data'!B10</f>
        <v>lm-payment</v>
      </c>
      <c r="C7" s="8">
        <f>('03_PT_Baseline_Data'!F10*'03_PT_Baseline_Data'!C10*'03_PT_Baseline_Data'!E10)/100</f>
        <v>3.1719999999999997</v>
      </c>
      <c r="D7" s="8">
        <f>('03_PT_Baseline_Data'!H10*'03_PT_Baseline_Data'!C10*'03_PT_Baseline_Data'!E10)/100</f>
        <v>17.784000000000002</v>
      </c>
      <c r="E7" s="14">
        <f>LN(D7/C7)/LN('03_PT_Baseline_Data'!$G$4/'03_PT_Baseline_Data'!$B$4)</f>
        <v>1.6762740391104589</v>
      </c>
      <c r="F7" s="14">
        <f>C7/('03_PT_Baseline_Data'!$B$4^E7)</f>
        <v>3.2485501268010683E-4</v>
      </c>
      <c r="G7" s="8">
        <f>('03_PT_Baseline_Data'!G10*'03_PT_Baseline_Data'!D10*'03_PT_Baseline_Data'!E10)/100</f>
        <v>38.479999999999997</v>
      </c>
      <c r="H7" s="8">
        <f>('03_PT_Baseline_Data'!I10*'03_PT_Baseline_Data'!D10*'03_PT_Baseline_Data'!E10)/100</f>
        <v>44.512</v>
      </c>
      <c r="I7" s="14">
        <f>LN(H7/G7)/LN('03_PT_Baseline_Data'!$G$4/'03_PT_Baseline_Data'!$B$4)</f>
        <v>0.1415941313231272</v>
      </c>
      <c r="J7" s="14">
        <f>G7/('03_PT_Baseline_Data'!$B$4^I7)</f>
        <v>17.7105325914217</v>
      </c>
      <c r="K7" s="8">
        <f>ROUNDUP(($F7*('01_Business_Growth_Plan'!D13^$E7))/'00_Cover_&amp;_Control'!$B$12, 0)</f>
        <v>30</v>
      </c>
      <c r="L7" s="8">
        <f>ROUNDUP(($F7*('01_Business_Growth_Plan'!E13^$E7))/'00_Cover_&amp;_Control'!$B$12, 0)</f>
        <v>38</v>
      </c>
      <c r="M7" s="8">
        <f>ROUNDUP(($F7*('01_Business_Growth_Plan'!F13^$E7))/'00_Cover_&amp;_Control'!$B$12, 0)</f>
        <v>48</v>
      </c>
      <c r="N7" s="8">
        <f>ROUNDUP(($F7*('01_Business_Growth_Plan'!G13^$E7))/'00_Cover_&amp;_Control'!$B$12, 0)</f>
        <v>60</v>
      </c>
      <c r="O7" s="8">
        <f>ROUNDUP(($F7*('01_Business_Growth_Plan'!H13^$E7))/'00_Cover_&amp;_Control'!$B$12, 0)</f>
        <v>76</v>
      </c>
      <c r="P7" s="8">
        <f>ROUNDUP(K7/'03_PT_Baseline_Data'!C10, 0)</f>
        <v>8</v>
      </c>
      <c r="Q7" s="8">
        <f>ROUNDUP(L7/'03_PT_Baseline_Data'!C10, 0)</f>
        <v>10</v>
      </c>
      <c r="R7" s="8">
        <f>ROUNDUP(M7/'03_PT_Baseline_Data'!C10, 0)</f>
        <v>12</v>
      </c>
      <c r="S7" s="8">
        <f>ROUNDUP(N7/'03_PT_Baseline_Data'!C10, 0)</f>
        <v>15</v>
      </c>
      <c r="T7" s="8">
        <f>ROUNDUP(O7/'03_PT_Baseline_Data'!C10, 0)</f>
        <v>19</v>
      </c>
    </row>
    <row r="8" spans="1:20" x14ac:dyDescent="0.2">
      <c r="A8" s="4">
        <v>5</v>
      </c>
      <c r="B8" s="13" t="str">
        <f>'03_PT_Baseline_Data'!B11</f>
        <v>lm-scheduler</v>
      </c>
      <c r="C8" s="8">
        <f>('03_PT_Baseline_Data'!F11*'03_PT_Baseline_Data'!C11*'03_PT_Baseline_Data'!E11)/100</f>
        <v>1.92</v>
      </c>
      <c r="D8" s="8">
        <f>('03_PT_Baseline_Data'!H11*'03_PT_Baseline_Data'!C11*'03_PT_Baseline_Data'!E11)/100</f>
        <v>4.4800000000000004</v>
      </c>
      <c r="E8" s="14">
        <f>LN(D8/C8)/LN('03_PT_Baseline_Data'!$G$4/'03_PT_Baseline_Data'!$B$4)</f>
        <v>0.8238720507094317</v>
      </c>
      <c r="F8" s="14">
        <f>C8/('03_PT_Baseline_Data'!$B$4^E8)</f>
        <v>2.1010239326083292E-2</v>
      </c>
      <c r="G8" s="8">
        <f>('03_PT_Baseline_Data'!G11*'03_PT_Baseline_Data'!D11*'03_PT_Baseline_Data'!E11)/100</f>
        <v>8</v>
      </c>
      <c r="H8" s="8">
        <f>('03_PT_Baseline_Data'!I11*'03_PT_Baseline_Data'!D11*'03_PT_Baseline_Data'!E11)/100</f>
        <v>9.6</v>
      </c>
      <c r="I8" s="14">
        <f>LN(H8/G8)/LN('03_PT_Baseline_Data'!$G$4/'03_PT_Baseline_Data'!$B$4)</f>
        <v>0.17728079097913421</v>
      </c>
      <c r="J8" s="14">
        <f>G8/('03_PT_Baseline_Data'!$B$4^I8)</f>
        <v>3.027958535311102</v>
      </c>
      <c r="K8" s="8">
        <f>ROUNDUP(($F8*('01_Business_Growth_Plan'!D13^$E8))/'00_Cover_&amp;_Control'!$B$12, 0)</f>
        <v>10</v>
      </c>
      <c r="L8" s="8">
        <f>ROUNDUP(($F8*('01_Business_Growth_Plan'!E13^$E8))/'00_Cover_&amp;_Control'!$B$12, 0)</f>
        <v>11</v>
      </c>
      <c r="M8" s="8">
        <f>ROUNDUP(($F8*('01_Business_Growth_Plan'!F13^$E8))/'00_Cover_&amp;_Control'!$B$12, 0)</f>
        <v>12</v>
      </c>
      <c r="N8" s="8">
        <f>ROUNDUP(($F8*('01_Business_Growth_Plan'!G13^$E8))/'00_Cover_&amp;_Control'!$B$12, 0)</f>
        <v>13</v>
      </c>
      <c r="O8" s="8">
        <f>ROUNDUP(($F8*('01_Business_Growth_Plan'!H13^$E8))/'00_Cover_&amp;_Control'!$B$12, 0)</f>
        <v>15</v>
      </c>
      <c r="P8" s="8">
        <f>ROUNDUP(K8/'03_PT_Baseline_Data'!C11, 0)</f>
        <v>1</v>
      </c>
      <c r="Q8" s="8">
        <f>ROUNDUP(L8/'03_PT_Baseline_Data'!C11, 0)</f>
        <v>1</v>
      </c>
      <c r="R8" s="8">
        <f>ROUNDUP(M8/'03_PT_Baseline_Data'!C11, 0)</f>
        <v>1</v>
      </c>
      <c r="S8" s="8">
        <f>ROUNDUP(N8/'03_PT_Baseline_Data'!C11, 0)</f>
        <v>1</v>
      </c>
      <c r="T8" s="8">
        <f>ROUNDUP(O8/'03_PT_Baseline_Data'!C11, 0)</f>
        <v>1</v>
      </c>
    </row>
    <row r="9" spans="1:20" x14ac:dyDescent="0.2">
      <c r="A9" s="4">
        <v>6</v>
      </c>
      <c r="B9" s="13" t="str">
        <f>'03_PT_Baseline_Data'!B12</f>
        <v>lm-event</v>
      </c>
      <c r="C9" s="8">
        <f>('03_PT_Baseline_Data'!F12*'03_PT_Baseline_Data'!C12*'03_PT_Baseline_Data'!E12)/100</f>
        <v>0.2</v>
      </c>
      <c r="D9" s="8">
        <f>('03_PT_Baseline_Data'!H12*'03_PT_Baseline_Data'!C12*'03_PT_Baseline_Data'!E12)/100</f>
        <v>1.1279999999999999</v>
      </c>
      <c r="E9" s="14">
        <f>LN(D9/C9)/LN('03_PT_Baseline_Data'!$G$4/'03_PT_Baseline_Data'!$B$4)</f>
        <v>1.6820568057258718</v>
      </c>
      <c r="F9" s="14">
        <f>C9/('03_PT_Baseline_Data'!$B$4^E9)</f>
        <v>1.9843716816792633E-5</v>
      </c>
      <c r="G9" s="8">
        <f>('03_PT_Baseline_Data'!G12*'03_PT_Baseline_Data'!D12*'03_PT_Baseline_Data'!E12)/100</f>
        <v>3.2</v>
      </c>
      <c r="H9" s="8">
        <f>('03_PT_Baseline_Data'!I12*'03_PT_Baseline_Data'!D12*'03_PT_Baseline_Data'!E12)/100</f>
        <v>4</v>
      </c>
      <c r="I9" s="14">
        <f>LN(H9/G9)/LN('03_PT_Baseline_Data'!$G$4/'03_PT_Baseline_Data'!$B$4)</f>
        <v>0.21697415256048222</v>
      </c>
      <c r="J9" s="14">
        <f>G9/('03_PT_Baseline_Data'!$B$4^I9)</f>
        <v>0.97439955443073989</v>
      </c>
      <c r="K9" s="8">
        <f>ROUNDUP(($F9*('01_Business_Growth_Plan'!D13^$E9))/'00_Cover_&amp;_Control'!$B$12, 0)</f>
        <v>2</v>
      </c>
      <c r="L9" s="8">
        <f>ROUNDUP(($F9*('01_Business_Growth_Plan'!E13^$E9))/'00_Cover_&amp;_Control'!$B$12, 0)</f>
        <v>3</v>
      </c>
      <c r="M9" s="8">
        <f>ROUNDUP(($F9*('01_Business_Growth_Plan'!F13^$E9))/'00_Cover_&amp;_Control'!$B$12, 0)</f>
        <v>3</v>
      </c>
      <c r="N9" s="8">
        <f>ROUNDUP(($F9*('01_Business_Growth_Plan'!G13^$E9))/'00_Cover_&amp;_Control'!$B$12, 0)</f>
        <v>4</v>
      </c>
      <c r="O9" s="8">
        <f>ROUNDUP(($F9*('01_Business_Growth_Plan'!H13^$E9))/'00_Cover_&amp;_Control'!$B$12, 0)</f>
        <v>5</v>
      </c>
      <c r="P9" s="8">
        <f>ROUNDUP(K9/'03_PT_Baseline_Data'!C12, 0)</f>
        <v>1</v>
      </c>
      <c r="Q9" s="8">
        <f>ROUNDUP(L9/'03_PT_Baseline_Data'!C12, 0)</f>
        <v>1</v>
      </c>
      <c r="R9" s="8">
        <f>ROUNDUP(M9/'03_PT_Baseline_Data'!C12, 0)</f>
        <v>1</v>
      </c>
      <c r="S9" s="8">
        <f>ROUNDUP(N9/'03_PT_Baseline_Data'!C12, 0)</f>
        <v>1</v>
      </c>
      <c r="T9" s="8">
        <f>ROUNDUP(O9/'03_PT_Baseline_Data'!C12, 0)</f>
        <v>2</v>
      </c>
    </row>
    <row r="10" spans="1:20" x14ac:dyDescent="0.2">
      <c r="A10" s="4">
        <v>7</v>
      </c>
      <c r="B10" s="13" t="str">
        <f>'03_PT_Baseline_Data'!B13</f>
        <v>lm-fnb</v>
      </c>
      <c r="C10" s="8">
        <f>('03_PT_Baseline_Data'!F13*'03_PT_Baseline_Data'!C13*'03_PT_Baseline_Data'!E13)/100</f>
        <v>0.16800000000000001</v>
      </c>
      <c r="D10" s="8">
        <f>('03_PT_Baseline_Data'!H13*'03_PT_Baseline_Data'!C13*'03_PT_Baseline_Data'!E13)/100</f>
        <v>0.99199999999999999</v>
      </c>
      <c r="E10" s="14">
        <f>LN(D10/C10)/LN('03_PT_Baseline_Data'!$G$4/'03_PT_Baseline_Data'!$B$4)</f>
        <v>1.726663529617845</v>
      </c>
      <c r="F10" s="14">
        <f>C10/('03_PT_Baseline_Data'!$B$4^E10)</f>
        <v>1.3053751463222247E-5</v>
      </c>
      <c r="G10" s="8">
        <f>('03_PT_Baseline_Data'!G13*'03_PT_Baseline_Data'!D13*'03_PT_Baseline_Data'!E13)/100</f>
        <v>3.04</v>
      </c>
      <c r="H10" s="8">
        <f>('03_PT_Baseline_Data'!I13*'03_PT_Baseline_Data'!D13*'03_PT_Baseline_Data'!E13)/100</f>
        <v>3.5839999999999996</v>
      </c>
      <c r="I10" s="14">
        <f>LN(H10/G10)/LN('03_PT_Baseline_Data'!$G$4/'03_PT_Baseline_Data'!$B$4)</f>
        <v>0.16007056590561719</v>
      </c>
      <c r="J10" s="14">
        <f>G10/('03_PT_Baseline_Data'!$B$4^I10)</f>
        <v>1.26443060621579</v>
      </c>
      <c r="K10" s="8">
        <f>ROUNDUP(($F10*('01_Business_Growth_Plan'!D13^$E10))/'00_Cover_&amp;_Control'!$B$12, 0)</f>
        <v>2</v>
      </c>
      <c r="L10" s="8">
        <f>ROUNDUP(($F10*('01_Business_Growth_Plan'!E13^$E10))/'00_Cover_&amp;_Control'!$B$12, 0)</f>
        <v>3</v>
      </c>
      <c r="M10" s="8">
        <f>ROUNDUP(($F10*('01_Business_Growth_Plan'!F13^$E10))/'00_Cover_&amp;_Control'!$B$12, 0)</f>
        <v>3</v>
      </c>
      <c r="N10" s="8">
        <f>ROUNDUP(($F10*('01_Business_Growth_Plan'!G13^$E10))/'00_Cover_&amp;_Control'!$B$12, 0)</f>
        <v>4</v>
      </c>
      <c r="O10" s="8">
        <f>ROUNDUP(($F10*('01_Business_Growth_Plan'!H13^$E10))/'00_Cover_&amp;_Control'!$B$12, 0)</f>
        <v>5</v>
      </c>
      <c r="P10" s="8">
        <f>ROUNDUP(K10/'03_PT_Baseline_Data'!C13, 0)</f>
        <v>1</v>
      </c>
      <c r="Q10" s="8">
        <f>ROUNDUP(L10/'03_PT_Baseline_Data'!C13, 0)</f>
        <v>1</v>
      </c>
      <c r="R10" s="8">
        <f>ROUNDUP(M10/'03_PT_Baseline_Data'!C13, 0)</f>
        <v>1</v>
      </c>
      <c r="S10" s="8">
        <f>ROUNDUP(N10/'03_PT_Baseline_Data'!C13, 0)</f>
        <v>1</v>
      </c>
      <c r="T10" s="8">
        <f>ROUNDUP(O10/'03_PT_Baseline_Data'!C13, 0)</f>
        <v>2</v>
      </c>
    </row>
    <row r="11" spans="1:20" x14ac:dyDescent="0.2">
      <c r="A11" s="4">
        <v>8</v>
      </c>
      <c r="B11" s="13" t="str">
        <f>'03_PT_Baseline_Data'!B14</f>
        <v>lm-kiosk</v>
      </c>
      <c r="C11" s="8">
        <f>('03_PT_Baseline_Data'!F14*'03_PT_Baseline_Data'!C14*'03_PT_Baseline_Data'!E14)/100</f>
        <v>0.14400000000000002</v>
      </c>
      <c r="D11" s="8">
        <f>('03_PT_Baseline_Data'!H14*'03_PT_Baseline_Data'!C14*'03_PT_Baseline_Data'!E14)/100</f>
        <v>0.84</v>
      </c>
      <c r="E11" s="14">
        <f>LN(D11/C11)/LN('03_PT_Baseline_Data'!$G$4/'03_PT_Baseline_Data'!$B$4)</f>
        <v>1.7148294809220184</v>
      </c>
      <c r="F11" s="14">
        <f>C11/('03_PT_Baseline_Data'!$B$4^E11)</f>
        <v>1.1938626688538123E-5</v>
      </c>
      <c r="G11" s="8">
        <f>('03_PT_Baseline_Data'!G14*'03_PT_Baseline_Data'!D14*'03_PT_Baseline_Data'!E14)/100</f>
        <v>2.56</v>
      </c>
      <c r="H11" s="8">
        <f>('03_PT_Baseline_Data'!I14*'03_PT_Baseline_Data'!D14*'03_PT_Baseline_Data'!E14)/100</f>
        <v>3.1360000000000001</v>
      </c>
      <c r="I11" s="14">
        <f>LN(H11/G11)/LN('03_PT_Baseline_Data'!$G$4/'03_PT_Baseline_Data'!$B$4)</f>
        <v>0.19733000298130018</v>
      </c>
      <c r="J11" s="14">
        <f>G11/('03_PT_Baseline_Data'!$B$4^I11)</f>
        <v>0.86812336490144559</v>
      </c>
      <c r="K11" s="8">
        <f>ROUNDUP(($F11*('01_Business_Growth_Plan'!D13^$E11))/'00_Cover_&amp;_Control'!$B$12, 0)</f>
        <v>2</v>
      </c>
      <c r="L11" s="8">
        <f>ROUNDUP(($F11*('01_Business_Growth_Plan'!E13^$E11))/'00_Cover_&amp;_Control'!$B$12, 0)</f>
        <v>2</v>
      </c>
      <c r="M11" s="8">
        <f>ROUNDUP(($F11*('01_Business_Growth_Plan'!F13^$E11))/'00_Cover_&amp;_Control'!$B$12, 0)</f>
        <v>3</v>
      </c>
      <c r="N11" s="8">
        <f>ROUNDUP(($F11*('01_Business_Growth_Plan'!G13^$E11))/'00_Cover_&amp;_Control'!$B$12, 0)</f>
        <v>3</v>
      </c>
      <c r="O11" s="8">
        <f>ROUNDUP(($F11*('01_Business_Growth_Plan'!H13^$E11))/'00_Cover_&amp;_Control'!$B$12, 0)</f>
        <v>4</v>
      </c>
      <c r="P11" s="8">
        <f>ROUNDUP(K11/'03_PT_Baseline_Data'!C14, 0)</f>
        <v>1</v>
      </c>
      <c r="Q11" s="8">
        <f>ROUNDUP(L11/'03_PT_Baseline_Data'!C14, 0)</f>
        <v>1</v>
      </c>
      <c r="R11" s="8">
        <f>ROUNDUP(M11/'03_PT_Baseline_Data'!C14, 0)</f>
        <v>1</v>
      </c>
      <c r="S11" s="8">
        <f>ROUNDUP(N11/'03_PT_Baseline_Data'!C14, 0)</f>
        <v>1</v>
      </c>
      <c r="T11" s="8">
        <f>ROUNDUP(O11/'03_PT_Baseline_Data'!C14, 0)</f>
        <v>1</v>
      </c>
    </row>
    <row r="12" spans="1:20" x14ac:dyDescent="0.2">
      <c r="A12" s="4">
        <v>9</v>
      </c>
      <c r="B12" s="13" t="str">
        <f>'03_PT_Baseline_Data'!B15</f>
        <v>lm-syscore</v>
      </c>
      <c r="C12" s="8">
        <f>('03_PT_Baseline_Data'!F15*'03_PT_Baseline_Data'!C15*'03_PT_Baseline_Data'!E15)/100</f>
        <v>0.28000000000000003</v>
      </c>
      <c r="D12" s="8">
        <f>('03_PT_Baseline_Data'!H15*'03_PT_Baseline_Data'!C15*'03_PT_Baseline_Data'!E15)/100</f>
        <v>1.536</v>
      </c>
      <c r="E12" s="14">
        <f>LN(D12/C12)/LN('03_PT_Baseline_Data'!$G$4/'03_PT_Baseline_Data'!$B$4)</f>
        <v>1.6550869073385046</v>
      </c>
      <c r="F12" s="14">
        <f>C12/('03_PT_Baseline_Data'!$B$4^E12)</f>
        <v>3.2206327642578172E-5</v>
      </c>
      <c r="G12" s="8">
        <f>('03_PT_Baseline_Data'!G15*'03_PT_Baseline_Data'!D15*'03_PT_Baseline_Data'!E15)/100</f>
        <v>3.52</v>
      </c>
      <c r="H12" s="8">
        <f>('03_PT_Baseline_Data'!I15*'03_PT_Baseline_Data'!D15*'03_PT_Baseline_Data'!E15)/100</f>
        <v>4.32</v>
      </c>
      <c r="I12" s="14">
        <f>LN(H12/G12)/LN('03_PT_Baseline_Data'!$G$4/'03_PT_Baseline_Data'!$B$4)</f>
        <v>0.19913232478056739</v>
      </c>
      <c r="J12" s="14">
        <f>G12/('03_PT_Baseline_Data'!$B$4^I12)</f>
        <v>1.1819374609058269</v>
      </c>
      <c r="K12" s="8">
        <f>ROUNDUP(($F12*('01_Business_Growth_Plan'!D13^$E12))/'00_Cover_&amp;_Control'!$B$12, 0)</f>
        <v>3</v>
      </c>
      <c r="L12" s="8">
        <f>ROUNDUP(($F12*('01_Business_Growth_Plan'!E13^$E12))/'00_Cover_&amp;_Control'!$B$12, 0)</f>
        <v>4</v>
      </c>
      <c r="M12" s="8">
        <f>ROUNDUP(($F12*('01_Business_Growth_Plan'!F13^$E12))/'00_Cover_&amp;_Control'!$B$12, 0)</f>
        <v>5</v>
      </c>
      <c r="N12" s="8">
        <f>ROUNDUP(($F12*('01_Business_Growth_Plan'!G13^$E12))/'00_Cover_&amp;_Control'!$B$12, 0)</f>
        <v>6</v>
      </c>
      <c r="O12" s="8">
        <f>ROUNDUP(($F12*('01_Business_Growth_Plan'!H13^$E12))/'00_Cover_&amp;_Control'!$B$12, 0)</f>
        <v>7</v>
      </c>
      <c r="P12" s="8">
        <f>ROUNDUP(K12/'03_PT_Baseline_Data'!C15, 0)</f>
        <v>1</v>
      </c>
      <c r="Q12" s="8">
        <f>ROUNDUP(L12/'03_PT_Baseline_Data'!C15, 0)</f>
        <v>1</v>
      </c>
      <c r="R12" s="8">
        <f>ROUNDUP(M12/'03_PT_Baseline_Data'!C15, 0)</f>
        <v>2</v>
      </c>
      <c r="S12" s="8">
        <f>ROUNDUP(N12/'03_PT_Baseline_Data'!C15, 0)</f>
        <v>2</v>
      </c>
      <c r="T12" s="8">
        <f>ROUNDUP(O12/'03_PT_Baseline_Data'!C15, 0)</f>
        <v>2</v>
      </c>
    </row>
    <row r="13" spans="1:20" x14ac:dyDescent="0.2">
      <c r="A13" s="4">
        <v>10</v>
      </c>
      <c r="B13" s="13" t="str">
        <f>'03_PT_Baseline_Data'!B16</f>
        <v>lm-report</v>
      </c>
      <c r="C13" s="8">
        <f>('03_PT_Baseline_Data'!F16*'03_PT_Baseline_Data'!C16*'03_PT_Baseline_Data'!E16)/100</f>
        <v>0.64</v>
      </c>
      <c r="D13" s="8">
        <f>('03_PT_Baseline_Data'!H16*'03_PT_Baseline_Data'!C16*'03_PT_Baseline_Data'!E16)/100</f>
        <v>3.36</v>
      </c>
      <c r="E13" s="14">
        <f>LN(D13/C13)/LN('03_PT_Baseline_Data'!$G$4/'03_PT_Baseline_Data'!$B$4)</f>
        <v>1.6123819377886646</v>
      </c>
      <c r="F13" s="14">
        <f>C13/('03_PT_Baseline_Data'!$B$4^E13)</f>
        <v>9.302588595642492E-5</v>
      </c>
      <c r="G13" s="8">
        <f>('03_PT_Baseline_Data'!G16*'03_PT_Baseline_Data'!D16*'03_PT_Baseline_Data'!E16)/100</f>
        <v>7.04</v>
      </c>
      <c r="H13" s="8">
        <f>('03_PT_Baseline_Data'!I16*'03_PT_Baseline_Data'!D16*'03_PT_Baseline_Data'!E16)/100</f>
        <v>8.32</v>
      </c>
      <c r="I13" s="14">
        <f>LN(H13/G13)/LN('03_PT_Baseline_Data'!$G$4/'03_PT_Baseline_Data'!$B$4)</f>
        <v>0.16243542884427231</v>
      </c>
      <c r="J13" s="14">
        <f>G13/('03_PT_Baseline_Data'!$B$4^I13)</f>
        <v>2.8904505524805746</v>
      </c>
      <c r="K13" s="8">
        <f>ROUNDUP(($F13*('01_Business_Growth_Plan'!D13^$E13))/'00_Cover_&amp;_Control'!$B$12, 0)</f>
        <v>6</v>
      </c>
      <c r="L13" s="8">
        <f>ROUNDUP(($F13*('01_Business_Growth_Plan'!E13^$E13))/'00_Cover_&amp;_Control'!$B$12, 0)</f>
        <v>8</v>
      </c>
      <c r="M13" s="8">
        <f>ROUNDUP(($F13*('01_Business_Growth_Plan'!F13^$E13))/'00_Cover_&amp;_Control'!$B$12, 0)</f>
        <v>9</v>
      </c>
      <c r="N13" s="8">
        <f>ROUNDUP(($F13*('01_Business_Growth_Plan'!G13^$E13))/'00_Cover_&amp;_Control'!$B$12, 0)</f>
        <v>12</v>
      </c>
      <c r="O13" s="8">
        <f>ROUNDUP(($F13*('01_Business_Growth_Plan'!H13^$E13))/'00_Cover_&amp;_Control'!$B$12, 0)</f>
        <v>14</v>
      </c>
      <c r="P13" s="8">
        <f>ROUNDUP(K13/'03_PT_Baseline_Data'!C16, 0)</f>
        <v>2</v>
      </c>
      <c r="Q13" s="8">
        <f>ROUNDUP(L13/'03_PT_Baseline_Data'!C16, 0)</f>
        <v>2</v>
      </c>
      <c r="R13" s="8">
        <f>ROUNDUP(M13/'03_PT_Baseline_Data'!C16, 0)</f>
        <v>3</v>
      </c>
      <c r="S13" s="8">
        <f>ROUNDUP(N13/'03_PT_Baseline_Data'!C16, 0)</f>
        <v>3</v>
      </c>
      <c r="T13" s="8">
        <f>ROUNDUP(O13/'03_PT_Baseline_Data'!C16, 0)</f>
        <v>4</v>
      </c>
    </row>
    <row r="14" spans="1:20" x14ac:dyDescent="0.2">
      <c r="A14" s="4">
        <v>11</v>
      </c>
      <c r="B14" s="13" t="str">
        <f>'03_PT_Baseline_Data'!B17</f>
        <v>lm-authentication</v>
      </c>
      <c r="C14" s="8">
        <f>('03_PT_Baseline_Data'!F17*'03_PT_Baseline_Data'!C17*'03_PT_Baseline_Data'!E17)/100</f>
        <v>0.33600000000000002</v>
      </c>
      <c r="D14" s="8">
        <f>('03_PT_Baseline_Data'!H17*'03_PT_Baseline_Data'!C17*'03_PT_Baseline_Data'!E17)/100</f>
        <v>1.768</v>
      </c>
      <c r="E14" s="14">
        <f>LN(D14/C14)/LN('03_PT_Baseline_Data'!$G$4/'03_PT_Baseline_Data'!$B$4)</f>
        <v>1.6145843222688729</v>
      </c>
      <c r="F14" s="14">
        <f>C14/('03_PT_Baseline_Data'!$B$4^E14)</f>
        <v>4.8252664149481252E-5</v>
      </c>
      <c r="G14" s="8">
        <f>('03_PT_Baseline_Data'!G17*'03_PT_Baseline_Data'!D17*'03_PT_Baseline_Data'!E17)/100</f>
        <v>4.8</v>
      </c>
      <c r="H14" s="8">
        <f>('03_PT_Baseline_Data'!I17*'03_PT_Baseline_Data'!D17*'03_PT_Baseline_Data'!E17)/100</f>
        <v>5.6</v>
      </c>
      <c r="I14" s="14">
        <f>LN(H14/G14)/LN('03_PT_Baseline_Data'!$G$4/'03_PT_Baseline_Data'!$B$4)</f>
        <v>0.14988877305732706</v>
      </c>
      <c r="J14" s="14">
        <f>G14/('03_PT_Baseline_Data'!$B$4^I14)</f>
        <v>2.1110377376521514</v>
      </c>
      <c r="K14" s="8">
        <f>ROUNDUP(($F14*('01_Business_Growth_Plan'!D13^$E14))/'00_Cover_&amp;_Control'!$B$12, 0)</f>
        <v>3</v>
      </c>
      <c r="L14" s="8">
        <f>ROUNDUP(($F14*('01_Business_Growth_Plan'!E13^$E14))/'00_Cover_&amp;_Control'!$B$12, 0)</f>
        <v>4</v>
      </c>
      <c r="M14" s="8">
        <f>ROUNDUP(($F14*('01_Business_Growth_Plan'!F13^$E14))/'00_Cover_&amp;_Control'!$B$12, 0)</f>
        <v>5</v>
      </c>
      <c r="N14" s="8">
        <f>ROUNDUP(($F14*('01_Business_Growth_Plan'!G13^$E14))/'00_Cover_&amp;_Control'!$B$12, 0)</f>
        <v>6</v>
      </c>
      <c r="O14" s="8">
        <f>ROUNDUP(($F14*('01_Business_Growth_Plan'!H13^$E14))/'00_Cover_&amp;_Control'!$B$12, 0)</f>
        <v>8</v>
      </c>
      <c r="P14" s="8">
        <f>ROUNDUP(K14/'03_PT_Baseline_Data'!C17, 0)</f>
        <v>1</v>
      </c>
      <c r="Q14" s="8">
        <f>ROUNDUP(L14/'03_PT_Baseline_Data'!C17, 0)</f>
        <v>1</v>
      </c>
      <c r="R14" s="8">
        <f>ROUNDUP(M14/'03_PT_Baseline_Data'!C17, 0)</f>
        <v>2</v>
      </c>
      <c r="S14" s="8">
        <f>ROUNDUP(N14/'03_PT_Baseline_Data'!C17, 0)</f>
        <v>2</v>
      </c>
      <c r="T14" s="8">
        <f>ROUNDUP(O14/'03_PT_Baseline_Data'!C17, 0)</f>
        <v>2</v>
      </c>
    </row>
    <row r="15" spans="1:20" x14ac:dyDescent="0.2">
      <c r="A15" s="4">
        <v>12</v>
      </c>
      <c r="B15" s="13" t="str">
        <f>'03_PT_Baseline_Data'!B18</f>
        <v>lm-lending</v>
      </c>
      <c r="C15" s="8">
        <f>('03_PT_Baseline_Data'!F18*'03_PT_Baseline_Data'!C18*'03_PT_Baseline_Data'!E18)/100</f>
        <v>0.22399999999999998</v>
      </c>
      <c r="D15" s="8">
        <f>('03_PT_Baseline_Data'!H18*'03_PT_Baseline_Data'!C18*'03_PT_Baseline_Data'!E18)/100</f>
        <v>1.248</v>
      </c>
      <c r="E15" s="14">
        <f>LN(D15/C15)/LN('03_PT_Baseline_Data'!$G$4/'03_PT_Baseline_Data'!$B$4)</f>
        <v>1.670162439277332</v>
      </c>
      <c r="F15" s="14">
        <f>C15/('03_PT_Baseline_Data'!$B$4^E15)</f>
        <v>2.3721952172782822E-5</v>
      </c>
      <c r="G15" s="8">
        <f>('03_PT_Baseline_Data'!G18*'03_PT_Baseline_Data'!D18*'03_PT_Baseline_Data'!E18)/100</f>
        <v>3.84</v>
      </c>
      <c r="H15" s="8">
        <f>('03_PT_Baseline_Data'!I18*'03_PT_Baseline_Data'!D18*'03_PT_Baseline_Data'!E18)/100</f>
        <v>4.4800000000000004</v>
      </c>
      <c r="I15" s="14">
        <f>LN(H15/G15)/LN('03_PT_Baseline_Data'!$G$4/'03_PT_Baseline_Data'!$B$4)</f>
        <v>0.14988877305732706</v>
      </c>
      <c r="J15" s="14">
        <f>G15/('03_PT_Baseline_Data'!$B$4^I15)</f>
        <v>1.6888301901217211</v>
      </c>
      <c r="K15" s="8">
        <f>ROUNDUP(($F15*('01_Business_Growth_Plan'!D13^$E15))/'00_Cover_&amp;_Control'!$B$12, 0)</f>
        <v>3</v>
      </c>
      <c r="L15" s="8">
        <f>ROUNDUP(($F15*('01_Business_Growth_Plan'!E13^$E15))/'00_Cover_&amp;_Control'!$B$12, 0)</f>
        <v>3</v>
      </c>
      <c r="M15" s="8">
        <f>ROUNDUP(($F15*('01_Business_Growth_Plan'!F13^$E15))/'00_Cover_&amp;_Control'!$B$12, 0)</f>
        <v>4</v>
      </c>
      <c r="N15" s="8">
        <f>ROUNDUP(($F15*('01_Business_Growth_Plan'!G13^$E15))/'00_Cover_&amp;_Control'!$B$12, 0)</f>
        <v>5</v>
      </c>
      <c r="O15" s="8">
        <f>ROUNDUP(($F15*('01_Business_Growth_Plan'!H13^$E15))/'00_Cover_&amp;_Control'!$B$12, 0)</f>
        <v>6</v>
      </c>
      <c r="P15" s="8">
        <f>ROUNDUP(K15/'03_PT_Baseline_Data'!C18, 0)</f>
        <v>1</v>
      </c>
      <c r="Q15" s="8">
        <f>ROUNDUP(L15/'03_PT_Baseline_Data'!C18, 0)</f>
        <v>1</v>
      </c>
      <c r="R15" s="8">
        <f>ROUNDUP(M15/'03_PT_Baseline_Data'!C18, 0)</f>
        <v>1</v>
      </c>
      <c r="S15" s="8">
        <f>ROUNDUP(N15/'03_PT_Baseline_Data'!C18, 0)</f>
        <v>2</v>
      </c>
      <c r="T15" s="8">
        <f>ROUNDUP(O15/'03_PT_Baseline_Data'!C18, 0)</f>
        <v>2</v>
      </c>
    </row>
    <row r="16" spans="1:20" x14ac:dyDescent="0.2">
      <c r="A16" s="4">
        <v>13</v>
      </c>
      <c r="B16" s="13" t="str">
        <f>'03_PT_Baseline_Data'!B19</f>
        <v>Nginx Ingress</v>
      </c>
      <c r="C16" s="8">
        <f>('03_PT_Baseline_Data'!F19*'03_PT_Baseline_Data'!C19*'03_PT_Baseline_Data'!E19)/100</f>
        <v>0.6</v>
      </c>
      <c r="D16" s="8">
        <f>('03_PT_Baseline_Data'!H19*'03_PT_Baseline_Data'!C19*'03_PT_Baseline_Data'!E19)/100</f>
        <v>1.6415999999999999</v>
      </c>
      <c r="E16" s="14">
        <f>LN(D16/C16)/LN('03_PT_Baseline_Data'!$G$4/'03_PT_Baseline_Data'!$B$4)</f>
        <v>0.97866970518073504</v>
      </c>
      <c r="F16" s="14">
        <f>C16/('03_PT_Baseline_Data'!$B$4^E16)</f>
        <v>2.8109447970004076E-3</v>
      </c>
      <c r="G16" s="8">
        <f>('03_PT_Baseline_Data'!G19*'03_PT_Baseline_Data'!D19*'03_PT_Baseline_Data'!E19)/100</f>
        <v>4</v>
      </c>
      <c r="H16" s="8">
        <f>('03_PT_Baseline_Data'!I19*'03_PT_Baseline_Data'!D19*'03_PT_Baseline_Data'!E19)/100</f>
        <v>4.7360000000000007</v>
      </c>
      <c r="I16" s="14">
        <f>LN(H16/G16)/LN('03_PT_Baseline_Data'!$G$4/'03_PT_Baseline_Data'!$B$4)</f>
        <v>0.16422888585252235</v>
      </c>
      <c r="J16" s="14">
        <f>G16/('03_PT_Baseline_Data'!$B$4^I16)</f>
        <v>1.626238841072944</v>
      </c>
      <c r="K16" s="8">
        <f>ROUNDUP(($F16*('01_Business_Growth_Plan'!D13^$E16))/'00_Cover_&amp;_Control'!$B$12, 0)</f>
        <v>4</v>
      </c>
      <c r="L16" s="8">
        <f>ROUNDUP(($F16*('01_Business_Growth_Plan'!E13^$E16))/'00_Cover_&amp;_Control'!$B$12, 0)</f>
        <v>4</v>
      </c>
      <c r="M16" s="8">
        <f>ROUNDUP(($F16*('01_Business_Growth_Plan'!F13^$E16))/'00_Cover_&amp;_Control'!$B$12, 0)</f>
        <v>5</v>
      </c>
      <c r="N16" s="8">
        <f>ROUNDUP(($F16*('01_Business_Growth_Plan'!G13^$E16))/'00_Cover_&amp;_Control'!$B$12, 0)</f>
        <v>5</v>
      </c>
      <c r="O16" s="8">
        <f>ROUNDUP(($F16*('01_Business_Growth_Plan'!H13^$E16))/'00_Cover_&amp;_Control'!$B$12, 0)</f>
        <v>6</v>
      </c>
      <c r="P16" s="8">
        <f>ROUNDUP(K16/'03_PT_Baseline_Data'!C19, 0)</f>
        <v>1</v>
      </c>
      <c r="Q16" s="8">
        <f>ROUNDUP(L16/'03_PT_Baseline_Data'!C19, 0)</f>
        <v>1</v>
      </c>
      <c r="R16" s="8">
        <f>ROUNDUP(M16/'03_PT_Baseline_Data'!C19, 0)</f>
        <v>1</v>
      </c>
      <c r="S16" s="8">
        <f>ROUNDUP(N16/'03_PT_Baseline_Data'!C19, 0)</f>
        <v>1</v>
      </c>
      <c r="T16" s="8">
        <f>ROUNDUP(O16/'03_PT_Baseline_Data'!C19, 0)</f>
        <v>1</v>
      </c>
    </row>
    <row r="17" spans="1:20" x14ac:dyDescent="0.2">
      <c r="A17" s="4">
        <v>14</v>
      </c>
      <c r="B17" s="13" t="str">
        <f>'03_PT_Baseline_Data'!B20</f>
        <v>Redis Cache Cluster</v>
      </c>
      <c r="C17" s="8">
        <f>('03_PT_Baseline_Data'!F20*'03_PT_Baseline_Data'!C20*'03_PT_Baseline_Data'!E20)/100</f>
        <v>1.08</v>
      </c>
      <c r="D17" s="8">
        <f>('03_PT_Baseline_Data'!H20*'03_PT_Baseline_Data'!C20*'03_PT_Baseline_Data'!E20)/100</f>
        <v>4.4400000000000004</v>
      </c>
      <c r="E17" s="14">
        <f>LN(D17/C17)/LN('03_PT_Baseline_Data'!$G$4/'03_PT_Baseline_Data'!$B$4)</f>
        <v>1.3746080117589454</v>
      </c>
      <c r="F17" s="14">
        <f>C17/('03_PT_Baseline_Data'!$B$4^E17)</f>
        <v>5.7778377360415069E-4</v>
      </c>
      <c r="G17" s="8">
        <f>('03_PT_Baseline_Data'!G20*'03_PT_Baseline_Data'!D20*'03_PT_Baseline_Data'!E20)/100</f>
        <v>13.44</v>
      </c>
      <c r="H17" s="8">
        <f>('03_PT_Baseline_Data'!I20*'03_PT_Baseline_Data'!D20*'03_PT_Baseline_Data'!E20)/100</f>
        <v>21.6</v>
      </c>
      <c r="I17" s="14">
        <f>LN(H17/G17)/LN('03_PT_Baseline_Data'!$G$4/'03_PT_Baseline_Data'!$B$4)</f>
        <v>0.46134032304277173</v>
      </c>
      <c r="J17" s="14">
        <f>G17/('03_PT_Baseline_Data'!$B$4^I17)</f>
        <v>1.0724539238618744</v>
      </c>
      <c r="K17" s="8">
        <f>ROUNDUP(($F17*('01_Business_Growth_Plan'!D13^$E17))/'00_Cover_&amp;_Control'!$B$12, 0)</f>
        <v>8</v>
      </c>
      <c r="L17" s="8">
        <f>ROUNDUP(($F17*('01_Business_Growth_Plan'!E13^$E17))/'00_Cover_&amp;_Control'!$B$12, 0)</f>
        <v>10</v>
      </c>
      <c r="M17" s="8">
        <f>ROUNDUP(($F17*('01_Business_Growth_Plan'!F13^$E17))/'00_Cover_&amp;_Control'!$B$12, 0)</f>
        <v>12</v>
      </c>
      <c r="N17" s="8">
        <f>ROUNDUP(($F17*('01_Business_Growth_Plan'!G13^$E17))/'00_Cover_&amp;_Control'!$B$12, 0)</f>
        <v>15</v>
      </c>
      <c r="O17" s="8">
        <f>ROUNDUP(($F17*('01_Business_Growth_Plan'!H13^$E17))/'00_Cover_&amp;_Control'!$B$12, 0)</f>
        <v>18</v>
      </c>
      <c r="P17" s="8">
        <f>ROUNDUP(K17/'03_PT_Baseline_Data'!C20, 0)</f>
        <v>1</v>
      </c>
      <c r="Q17" s="8">
        <f>ROUNDUP(L17/'03_PT_Baseline_Data'!C20, 0)</f>
        <v>2</v>
      </c>
      <c r="R17" s="8">
        <f>ROUNDUP(M17/'03_PT_Baseline_Data'!C20, 0)</f>
        <v>2</v>
      </c>
      <c r="S17" s="8">
        <f>ROUNDUP(N17/'03_PT_Baseline_Data'!C20, 0)</f>
        <v>2</v>
      </c>
      <c r="T17" s="8">
        <f>ROUNDUP(O17/'03_PT_Baseline_Data'!C20, 0)</f>
        <v>3</v>
      </c>
    </row>
    <row r="18" spans="1:20" x14ac:dyDescent="0.2">
      <c r="A18" s="4">
        <v>15</v>
      </c>
      <c r="B18" s="13" t="str">
        <f>'03_PT_Baseline_Data'!B21</f>
        <v>Kafka Brokers</v>
      </c>
      <c r="C18" s="8">
        <f>('03_PT_Baseline_Data'!F21*'03_PT_Baseline_Data'!C21*'03_PT_Baseline_Data'!E21)/100</f>
        <v>3.9359999999999995</v>
      </c>
      <c r="D18" s="8">
        <f>('03_PT_Baseline_Data'!H21*'03_PT_Baseline_Data'!C21*'03_PT_Baseline_Data'!E21)/100</f>
        <v>12.671999999999999</v>
      </c>
      <c r="E18" s="14">
        <f>LN(D18/C18)/LN('03_PT_Baseline_Data'!$G$4/'03_PT_Baseline_Data'!$B$4)</f>
        <v>1.136903377374322</v>
      </c>
      <c r="F18" s="14">
        <f>C18/('03_PT_Baseline_Data'!$B$4^E18)</f>
        <v>7.7472844392200962E-3</v>
      </c>
      <c r="G18" s="8">
        <f>('03_PT_Baseline_Data'!G21*'03_PT_Baseline_Data'!D21*'03_PT_Baseline_Data'!E21)/100</f>
        <v>33.6</v>
      </c>
      <c r="H18" s="8">
        <f>('03_PT_Baseline_Data'!I21*'03_PT_Baseline_Data'!D21*'03_PT_Baseline_Data'!E21)/100</f>
        <v>46.08</v>
      </c>
      <c r="I18" s="14">
        <f>LN(H18/G18)/LN('03_PT_Baseline_Data'!$G$4/'03_PT_Baseline_Data'!$B$4)</f>
        <v>0.30712035203429522</v>
      </c>
      <c r="J18" s="14">
        <f>G18/('03_PT_Baseline_Data'!$B$4^I18)</f>
        <v>6.2426995060246044</v>
      </c>
      <c r="K18" s="8">
        <f>ROUNDUP(($F18*('01_Business_Growth_Plan'!D13^$E18))/'00_Cover_&amp;_Control'!$B$12, 0)</f>
        <v>25</v>
      </c>
      <c r="L18" s="8">
        <f>ROUNDUP(($F18*('01_Business_Growth_Plan'!E13^$E18))/'00_Cover_&amp;_Control'!$B$12, 0)</f>
        <v>29</v>
      </c>
      <c r="M18" s="8">
        <f>ROUNDUP(($F18*('01_Business_Growth_Plan'!F13^$E18))/'00_Cover_&amp;_Control'!$B$12, 0)</f>
        <v>34</v>
      </c>
      <c r="N18" s="8">
        <f>ROUNDUP(($F18*('01_Business_Growth_Plan'!G13^$E18))/'00_Cover_&amp;_Control'!$B$12, 0)</f>
        <v>39</v>
      </c>
      <c r="O18" s="8">
        <f>ROUNDUP(($F18*('01_Business_Growth_Plan'!H13^$E18))/'00_Cover_&amp;_Control'!$B$12, 0)</f>
        <v>46</v>
      </c>
      <c r="P18" s="8">
        <f>ROUNDUP(K18/'03_PT_Baseline_Data'!C21, 0)</f>
        <v>2</v>
      </c>
      <c r="Q18" s="8">
        <f>ROUNDUP(L18/'03_PT_Baseline_Data'!C21, 0)</f>
        <v>2</v>
      </c>
      <c r="R18" s="8">
        <f>ROUNDUP(M18/'03_PT_Baseline_Data'!C21, 0)</f>
        <v>3</v>
      </c>
      <c r="S18" s="8">
        <f>ROUNDUP(N18/'03_PT_Baseline_Data'!C21, 0)</f>
        <v>3</v>
      </c>
      <c r="T18" s="8">
        <f>ROUNDUP(O18/'03_PT_Baseline_Data'!C21, 0)</f>
        <v>3</v>
      </c>
    </row>
    <row r="19" spans="1:20" x14ac:dyDescent="0.2">
      <c r="A19" s="4">
        <v>16</v>
      </c>
      <c r="B19" s="13" t="str">
        <f>'03_PT_Baseline_Data'!B22</f>
        <v>Elasticsearch Data</v>
      </c>
      <c r="C19" s="8">
        <f>('03_PT_Baseline_Data'!F22*'03_PT_Baseline_Data'!C22*'03_PT_Baseline_Data'!E22)/100</f>
        <v>2.4</v>
      </c>
      <c r="D19" s="8">
        <f>('03_PT_Baseline_Data'!H22*'03_PT_Baseline_Data'!C22*'03_PT_Baseline_Data'!E22)/100</f>
        <v>7.68</v>
      </c>
      <c r="E19" s="14">
        <f>LN(D19/C19)/LN('03_PT_Baseline_Data'!$G$4/'03_PT_Baseline_Data'!$B$4)</f>
        <v>1.130992402743727</v>
      </c>
      <c r="F19" s="14">
        <f>C19/('03_PT_Baseline_Data'!$B$4^E19)</f>
        <v>4.879487003809478E-3</v>
      </c>
      <c r="G19" s="8">
        <f>('03_PT_Baseline_Data'!G22*'03_PT_Baseline_Data'!D22*'03_PT_Baseline_Data'!E22)/100</f>
        <v>35.200000000000003</v>
      </c>
      <c r="H19" s="8">
        <f>('03_PT_Baseline_Data'!I22*'03_PT_Baseline_Data'!D22*'03_PT_Baseline_Data'!E22)/100</f>
        <v>43.52</v>
      </c>
      <c r="I19" s="14">
        <f>LN(H19/G19)/LN('03_PT_Baseline_Data'!$G$4/'03_PT_Baseline_Data'!$B$4)</f>
        <v>0.20630838932411447</v>
      </c>
      <c r="J19" s="14">
        <f>G19/('03_PT_Baseline_Data'!$B$4^I19)</f>
        <v>11.363575117047082</v>
      </c>
      <c r="K19" s="8">
        <f>ROUNDUP(($F19*('01_Business_Growth_Plan'!D13^$E19))/'00_Cover_&amp;_Control'!$B$12, 0)</f>
        <v>15</v>
      </c>
      <c r="L19" s="8">
        <f>ROUNDUP(($F19*('01_Business_Growth_Plan'!E13^$E19))/'00_Cover_&amp;_Control'!$B$12, 0)</f>
        <v>18</v>
      </c>
      <c r="M19" s="8">
        <f>ROUNDUP(($F19*('01_Business_Growth_Plan'!F13^$E19))/'00_Cover_&amp;_Control'!$B$12, 0)</f>
        <v>21</v>
      </c>
      <c r="N19" s="8">
        <f>ROUNDUP(($F19*('01_Business_Growth_Plan'!G13^$E19))/'00_Cover_&amp;_Control'!$B$12, 0)</f>
        <v>24</v>
      </c>
      <c r="O19" s="8">
        <f>ROUNDUP(($F19*('01_Business_Growth_Plan'!H13^$E19))/'00_Cover_&amp;_Control'!$B$12, 0)</f>
        <v>28</v>
      </c>
      <c r="P19" s="8">
        <f>ROUNDUP(K19/'03_PT_Baseline_Data'!C22, 0)</f>
        <v>2</v>
      </c>
      <c r="Q19" s="8">
        <f>ROUNDUP(L19/'03_PT_Baseline_Data'!C22, 0)</f>
        <v>3</v>
      </c>
      <c r="R19" s="8">
        <f>ROUNDUP(M19/'03_PT_Baseline_Data'!C22, 0)</f>
        <v>3</v>
      </c>
      <c r="S19" s="8">
        <f>ROUNDUP(N19/'03_PT_Baseline_Data'!C22, 0)</f>
        <v>3</v>
      </c>
      <c r="T19" s="8">
        <f>ROUNDUP(O19/'03_PT_Baseline_Data'!C22, 0)</f>
        <v>4</v>
      </c>
    </row>
    <row r="20" spans="1:20" x14ac:dyDescent="0.2">
      <c r="A20" s="4">
        <v>17</v>
      </c>
      <c r="B20" s="13" t="str">
        <f>'03_PT_Baseline_Data'!B23</f>
        <v>Database Data Tier</v>
      </c>
      <c r="C20" s="8">
        <f>('03_PT_Baseline_Data'!F23*'03_PT_Baseline_Data'!C23*'03_PT_Baseline_Data'!E23)/100</f>
        <v>7.04</v>
      </c>
      <c r="D20" s="8">
        <f>('03_PT_Baseline_Data'!H23*'03_PT_Baseline_Data'!C23*'03_PT_Baseline_Data'!E23)/100</f>
        <v>21.76</v>
      </c>
      <c r="E20" s="14">
        <f>LN(D20/C20)/LN('03_PT_Baseline_Data'!$G$4/'03_PT_Baseline_Data'!$B$4)</f>
        <v>1.0972658195367013</v>
      </c>
      <c r="F20" s="14">
        <f>C20/('03_PT_Baseline_Data'!$B$4^E20)</f>
        <v>1.7218966944517442E-2</v>
      </c>
      <c r="G20" s="8">
        <f>('03_PT_Baseline_Data'!G23*'03_PT_Baseline_Data'!D23*'03_PT_Baseline_Data'!E23)/100</f>
        <v>307.2</v>
      </c>
      <c r="H20" s="8">
        <f>('03_PT_Baseline_Data'!I23*'03_PT_Baseline_Data'!D23*'03_PT_Baseline_Data'!E23)/100</f>
        <v>399.36</v>
      </c>
      <c r="I20" s="14">
        <f>LN(H20/G20)/LN('03_PT_Baseline_Data'!$G$4/'03_PT_Baseline_Data'!$B$4)</f>
        <v>0.25511050446996741</v>
      </c>
      <c r="J20" s="14">
        <f>G20/('03_PT_Baseline_Data'!$B$4^I20)</f>
        <v>75.899909476491899</v>
      </c>
      <c r="K20" s="8">
        <f>ROUNDUP(($F20*('01_Business_Growth_Plan'!D13^$E20))/'00_Cover_&amp;_Control'!$B$12, 0)</f>
        <v>42</v>
      </c>
      <c r="L20" s="8">
        <f>ROUNDUP(($F20*('01_Business_Growth_Plan'!E13^$E20))/'00_Cover_&amp;_Control'!$B$12, 0)</f>
        <v>49</v>
      </c>
      <c r="M20" s="8">
        <f>ROUNDUP(($F20*('01_Business_Growth_Plan'!F13^$E20))/'00_Cover_&amp;_Control'!$B$12, 0)</f>
        <v>57</v>
      </c>
      <c r="N20" s="8">
        <f>ROUNDUP(($F20*('01_Business_Growth_Plan'!G13^$E20))/'00_Cover_&amp;_Control'!$B$12, 0)</f>
        <v>66</v>
      </c>
      <c r="O20" s="8">
        <f>ROUNDUP(($F20*('01_Business_Growth_Plan'!H13^$E20))/'00_Cover_&amp;_Control'!$B$12, 0)</f>
        <v>77</v>
      </c>
      <c r="P20" s="8">
        <f>ROUNDUP(K20/'03_PT_Baseline_Data'!C23, 0)</f>
        <v>2</v>
      </c>
      <c r="Q20" s="8">
        <f>ROUNDUP(L20/'03_PT_Baseline_Data'!C23, 0)</f>
        <v>2</v>
      </c>
      <c r="R20" s="8">
        <f>ROUNDUP(M20/'03_PT_Baseline_Data'!C23, 0)</f>
        <v>2</v>
      </c>
      <c r="S20" s="8">
        <f>ROUNDUP(N20/'03_PT_Baseline_Data'!C23, 0)</f>
        <v>3</v>
      </c>
      <c r="T20" s="8">
        <f>ROUNDUP(O20/'03_PT_Baseline_Data'!C23, 0)</f>
        <v>3</v>
      </c>
    </row>
    <row r="21" spans="1:20" x14ac:dyDescent="0.2">
      <c r="A21" s="4">
        <v>18</v>
      </c>
      <c r="B21" s="13" t="str">
        <f>'03_PT_Baseline_Data'!B24</f>
        <v>Database System Tier</v>
      </c>
      <c r="C21" s="8">
        <f>('03_PT_Baseline_Data'!F24*'03_PT_Baseline_Data'!C24*'03_PT_Baseline_Data'!E24)/100</f>
        <v>4.4800000000000004</v>
      </c>
      <c r="D21" s="8">
        <f>('03_PT_Baseline_Data'!H24*'03_PT_Baseline_Data'!C24*'03_PT_Baseline_Data'!E24)/100</f>
        <v>13.44</v>
      </c>
      <c r="E21" s="14">
        <f>LN(D21/C21)/LN('03_PT_Baseline_Data'!$G$4/'03_PT_Baseline_Data'!$B$4)</f>
        <v>1.068238221191721</v>
      </c>
      <c r="F21" s="14">
        <f>C21/('03_PT_Baseline_Data'!$B$4^E21)</f>
        <v>1.2846950778887603E-2</v>
      </c>
      <c r="G21" s="8">
        <f>('03_PT_Baseline_Data'!G24*'03_PT_Baseline_Data'!D24*'03_PT_Baseline_Data'!E24)/100</f>
        <v>230.4</v>
      </c>
      <c r="H21" s="8">
        <f>('03_PT_Baseline_Data'!I24*'03_PT_Baseline_Data'!D24*'03_PT_Baseline_Data'!E24)/100</f>
        <v>296.95999999999998</v>
      </c>
      <c r="I21" s="14">
        <f>LN(H21/G21)/LN('03_PT_Baseline_Data'!$G$4/'03_PT_Baseline_Data'!$B$4)</f>
        <v>0.24676408127168484</v>
      </c>
      <c r="J21" s="14">
        <f>G21/('03_PT_Baseline_Data'!$B$4^I21)</f>
        <v>59.589201128016654</v>
      </c>
      <c r="K21" s="8">
        <f>ROUNDUP(($F21*('01_Business_Growth_Plan'!D13^$E21))/'00_Cover_&amp;_Control'!$B$12, 0)</f>
        <v>26</v>
      </c>
      <c r="L21" s="8">
        <f>ROUNDUP(($F21*('01_Business_Growth_Plan'!E13^$E21))/'00_Cover_&amp;_Control'!$B$12, 0)</f>
        <v>31</v>
      </c>
      <c r="M21" s="8">
        <f>ROUNDUP(($F21*('01_Business_Growth_Plan'!F13^$E21))/'00_Cover_&amp;_Control'!$B$12, 0)</f>
        <v>35</v>
      </c>
      <c r="N21" s="8">
        <f>ROUNDUP(($F21*('01_Business_Growth_Plan'!G13^$E21))/'00_Cover_&amp;_Control'!$B$12, 0)</f>
        <v>41</v>
      </c>
      <c r="O21" s="8">
        <f>ROUNDUP(($F21*('01_Business_Growth_Plan'!H13^$E21))/'00_Cover_&amp;_Control'!$B$12, 0)</f>
        <v>48</v>
      </c>
      <c r="P21" s="8">
        <f>ROUNDUP(K21/'03_PT_Baseline_Data'!C24, 0)</f>
        <v>1</v>
      </c>
      <c r="Q21" s="8">
        <f>ROUNDUP(L21/'03_PT_Baseline_Data'!C24, 0)</f>
        <v>1</v>
      </c>
      <c r="R21" s="8">
        <f>ROUNDUP(M21/'03_PT_Baseline_Data'!C24, 0)</f>
        <v>2</v>
      </c>
      <c r="S21" s="8">
        <f>ROUNDUP(N21/'03_PT_Baseline_Data'!C24, 0)</f>
        <v>2</v>
      </c>
      <c r="T21" s="8">
        <f>ROUNDUP(O21/'03_PT_Baseline_Data'!C24, 0)</f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L8"/>
  <sheetViews>
    <sheetView workbookViewId="0"/>
  </sheetViews>
  <sheetFormatPr baseColWidth="10" defaultColWidth="8.83203125" defaultRowHeight="15" x14ac:dyDescent="0.2"/>
  <cols>
    <col min="1" max="1" width="51" customWidth="1"/>
    <col min="2" max="2" width="30" customWidth="1"/>
    <col min="3" max="3" width="29" customWidth="1"/>
    <col min="4" max="4" width="17" customWidth="1"/>
    <col min="5" max="5" width="20" customWidth="1"/>
    <col min="6" max="6" width="21" customWidth="1"/>
    <col min="7" max="7" width="26" customWidth="1"/>
    <col min="8" max="11" width="17" customWidth="1"/>
    <col min="12" max="12" width="18" customWidth="1"/>
  </cols>
  <sheetData>
    <row r="1" spans="1:12" ht="16" x14ac:dyDescent="0.2">
      <c r="A1" s="1" t="s">
        <v>153</v>
      </c>
    </row>
    <row r="3" spans="1:12" ht="16" x14ac:dyDescent="0.2">
      <c r="A3" s="2" t="s">
        <v>154</v>
      </c>
      <c r="B3" s="2" t="s">
        <v>155</v>
      </c>
      <c r="C3" s="2" t="s">
        <v>156</v>
      </c>
      <c r="D3" s="2" t="s">
        <v>157</v>
      </c>
      <c r="E3" s="2" t="s">
        <v>158</v>
      </c>
      <c r="F3" s="2" t="s">
        <v>159</v>
      </c>
      <c r="G3" s="2" t="s">
        <v>160</v>
      </c>
      <c r="H3" s="2" t="s">
        <v>161</v>
      </c>
      <c r="I3" s="2" t="s">
        <v>162</v>
      </c>
      <c r="J3" s="2" t="s">
        <v>163</v>
      </c>
      <c r="K3" s="2" t="s">
        <v>164</v>
      </c>
      <c r="L3" s="2" t="s">
        <v>165</v>
      </c>
    </row>
    <row r="4" spans="1:12" x14ac:dyDescent="0.2">
      <c r="A4" s="13" t="s">
        <v>166</v>
      </c>
      <c r="B4" s="13" t="s">
        <v>167</v>
      </c>
      <c r="C4" s="8">
        <v>5248</v>
      </c>
      <c r="D4" s="8">
        <v>15000000</v>
      </c>
      <c r="E4" s="12">
        <v>1.5</v>
      </c>
      <c r="F4" s="6">
        <v>0.3</v>
      </c>
      <c r="G4" s="8">
        <f>(D4*E4*(1+F4)*365)/1024/1024</f>
        <v>10181.665420532227</v>
      </c>
      <c r="H4" s="8">
        <f>C4+G4</f>
        <v>15429.665420532227</v>
      </c>
      <c r="I4" s="8">
        <f>H4+G4</f>
        <v>25611.330841064453</v>
      </c>
      <c r="J4" s="8">
        <f>I4+G4</f>
        <v>35792.99626159668</v>
      </c>
      <c r="K4" s="8">
        <f>J4+G4</f>
        <v>45974.661682128906</v>
      </c>
      <c r="L4" s="8">
        <v>128</v>
      </c>
    </row>
    <row r="5" spans="1:12" x14ac:dyDescent="0.2">
      <c r="A5" s="13" t="s">
        <v>168</v>
      </c>
      <c r="B5" s="13" t="s">
        <v>167</v>
      </c>
      <c r="C5" s="8">
        <v>5248</v>
      </c>
      <c r="D5" s="8">
        <v>15000000</v>
      </c>
      <c r="E5" s="12">
        <v>1.5</v>
      </c>
      <c r="F5" s="6">
        <v>0.3</v>
      </c>
      <c r="G5" s="8">
        <f>(D5*E5*(1+F5)*365)/1024/1024</f>
        <v>10181.665420532227</v>
      </c>
      <c r="H5" s="8">
        <f>C5+G5</f>
        <v>15429.665420532227</v>
      </c>
      <c r="I5" s="8">
        <f>H5+G5</f>
        <v>25611.330841064453</v>
      </c>
      <c r="J5" s="8">
        <f>I5+G5</f>
        <v>35792.99626159668</v>
      </c>
      <c r="K5" s="8">
        <f>J5+G5</f>
        <v>45974.661682128906</v>
      </c>
      <c r="L5" s="8">
        <v>128</v>
      </c>
    </row>
    <row r="6" spans="1:12" x14ac:dyDescent="0.2">
      <c r="A6" s="13" t="s">
        <v>169</v>
      </c>
      <c r="B6" s="13" t="s">
        <v>167</v>
      </c>
      <c r="C6" s="8">
        <v>1024</v>
      </c>
      <c r="D6" s="8">
        <v>5000000</v>
      </c>
      <c r="E6" s="12">
        <v>0.8</v>
      </c>
      <c r="F6" s="6">
        <v>0.25</v>
      </c>
      <c r="G6" s="8">
        <f>(D6*E6*(1+F6)*365)/1024/1024</f>
        <v>1740.4556274414062</v>
      </c>
      <c r="H6" s="8">
        <f>C6+G6</f>
        <v>2764.4556274414062</v>
      </c>
      <c r="I6" s="8">
        <f>H6+G6</f>
        <v>4504.9112548828125</v>
      </c>
      <c r="J6" s="8">
        <f>I6+G6</f>
        <v>6245.3668823242188</v>
      </c>
      <c r="K6" s="8">
        <f>J6+G6</f>
        <v>7985.822509765625</v>
      </c>
      <c r="L6" s="8">
        <v>128</v>
      </c>
    </row>
    <row r="7" spans="1:12" x14ac:dyDescent="0.2">
      <c r="A7" s="13" t="s">
        <v>170</v>
      </c>
      <c r="B7" s="13" t="s">
        <v>171</v>
      </c>
      <c r="C7" s="8">
        <v>8000</v>
      </c>
      <c r="D7" s="8">
        <v>2000000</v>
      </c>
      <c r="E7" s="12">
        <v>2.5</v>
      </c>
      <c r="F7" s="6">
        <v>0.35</v>
      </c>
      <c r="G7" s="8">
        <f>(D7*E7*(1+F7)*365)/1024/1024</f>
        <v>2349.6150970458984</v>
      </c>
      <c r="H7" s="8">
        <f>C7+G7</f>
        <v>10349.615097045898</v>
      </c>
      <c r="I7" s="8">
        <f>H7+G7</f>
        <v>12699.230194091797</v>
      </c>
      <c r="J7" s="8">
        <f>I7+G7</f>
        <v>15048.845291137695</v>
      </c>
      <c r="K7" s="8">
        <f>J7+G7</f>
        <v>17398.460388183594</v>
      </c>
      <c r="L7" s="8">
        <v>1024</v>
      </c>
    </row>
    <row r="8" spans="1:12" x14ac:dyDescent="0.2">
      <c r="A8" s="13" t="s">
        <v>172</v>
      </c>
      <c r="B8" s="13" t="s">
        <v>171</v>
      </c>
      <c r="C8" s="8">
        <v>8000</v>
      </c>
      <c r="D8" s="8">
        <v>2000000</v>
      </c>
      <c r="E8" s="12">
        <v>2.5</v>
      </c>
      <c r="F8" s="6">
        <v>0.35</v>
      </c>
      <c r="G8" s="8">
        <f>(D8*E8*(1+F8)*365)/1024/1024</f>
        <v>2349.6150970458984</v>
      </c>
      <c r="H8" s="8">
        <f>C8+G8</f>
        <v>10349.615097045898</v>
      </c>
      <c r="I8" s="8">
        <f>H8+G8</f>
        <v>12699.230194091797</v>
      </c>
      <c r="J8" s="8">
        <f>I8+G8</f>
        <v>15048.845291137695</v>
      </c>
      <c r="K8" s="8">
        <f>J8+G8</f>
        <v>17398.460388183594</v>
      </c>
      <c r="L8" s="8">
        <v>1024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C46D"/>
  </sheetPr>
  <dimension ref="A1:D10"/>
  <sheetViews>
    <sheetView workbookViewId="0"/>
  </sheetViews>
  <sheetFormatPr baseColWidth="10" defaultColWidth="8.83203125" defaultRowHeight="15" x14ac:dyDescent="0.2"/>
  <cols>
    <col min="1" max="1" width="52" customWidth="1"/>
    <col min="2" max="2" width="12" customWidth="1"/>
    <col min="3" max="3" width="13" customWidth="1"/>
    <col min="4" max="4" width="51" customWidth="1"/>
  </cols>
  <sheetData>
    <row r="1" spans="1:4" ht="16" x14ac:dyDescent="0.2">
      <c r="A1" s="1" t="s">
        <v>173</v>
      </c>
    </row>
    <row r="3" spans="1:4" x14ac:dyDescent="0.2">
      <c r="A3" s="10" t="s">
        <v>174</v>
      </c>
    </row>
    <row r="4" spans="1:4" ht="16" x14ac:dyDescent="0.2">
      <c r="A4" s="2" t="s">
        <v>175</v>
      </c>
      <c r="B4" s="2" t="s">
        <v>4</v>
      </c>
      <c r="C4" s="2" t="s">
        <v>5</v>
      </c>
      <c r="D4" s="2" t="s">
        <v>176</v>
      </c>
    </row>
    <row r="5" spans="1:4" ht="16" x14ac:dyDescent="0.2">
      <c r="A5" s="3" t="s">
        <v>177</v>
      </c>
      <c r="B5" s="8">
        <v>10000000</v>
      </c>
      <c r="C5" s="4" t="s">
        <v>178</v>
      </c>
      <c r="D5" s="5" t="s">
        <v>179</v>
      </c>
    </row>
    <row r="6" spans="1:4" ht="16" x14ac:dyDescent="0.2">
      <c r="A6" s="3" t="s">
        <v>180</v>
      </c>
      <c r="B6" s="7">
        <v>4.5</v>
      </c>
      <c r="C6" s="4" t="s">
        <v>181</v>
      </c>
      <c r="D6" s="5" t="s">
        <v>182</v>
      </c>
    </row>
    <row r="7" spans="1:4" ht="16" x14ac:dyDescent="0.2">
      <c r="A7" s="3" t="s">
        <v>183</v>
      </c>
      <c r="B7" s="15">
        <v>0.2</v>
      </c>
      <c r="C7" s="4" t="s">
        <v>26</v>
      </c>
      <c r="D7" s="5" t="s">
        <v>184</v>
      </c>
    </row>
    <row r="8" spans="1:4" ht="16" x14ac:dyDescent="0.2">
      <c r="A8" s="3" t="s">
        <v>185</v>
      </c>
      <c r="B8" s="16">
        <v>2</v>
      </c>
      <c r="C8" s="4" t="s">
        <v>95</v>
      </c>
      <c r="D8" s="5" t="s">
        <v>186</v>
      </c>
    </row>
    <row r="9" spans="1:4" ht="16" x14ac:dyDescent="0.2">
      <c r="A9" s="3" t="s">
        <v>187</v>
      </c>
      <c r="B9" s="15">
        <v>0.7</v>
      </c>
      <c r="C9" s="4" t="s">
        <v>26</v>
      </c>
      <c r="D9" s="5" t="s">
        <v>188</v>
      </c>
    </row>
    <row r="10" spans="1:4" ht="16" x14ac:dyDescent="0.2">
      <c r="A10" s="3" t="s">
        <v>189</v>
      </c>
      <c r="B10" s="7">
        <f>((B5*B6*(1+B7))/1024/1024)*B8/B9</f>
        <v>147.13832310267858</v>
      </c>
      <c r="C10" s="4" t="s">
        <v>190</v>
      </c>
      <c r="D10" s="5" t="s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03764"/>
  </sheetPr>
  <dimension ref="A1:L16"/>
  <sheetViews>
    <sheetView workbookViewId="0"/>
  </sheetViews>
  <sheetFormatPr baseColWidth="10" defaultColWidth="8.83203125" defaultRowHeight="15" x14ac:dyDescent="0.2"/>
  <cols>
    <col min="1" max="1" width="73" customWidth="1"/>
    <col min="2" max="2" width="28" customWidth="1"/>
    <col min="3" max="3" width="19" customWidth="1"/>
    <col min="4" max="5" width="16" customWidth="1"/>
    <col min="6" max="6" width="14" customWidth="1"/>
    <col min="7" max="7" width="16" customWidth="1"/>
    <col min="8" max="8" width="20" customWidth="1"/>
    <col min="9" max="9" width="18" customWidth="1"/>
    <col min="10" max="10" width="20" customWidth="1"/>
    <col min="11" max="11" width="24" customWidth="1"/>
    <col min="12" max="12" width="38" customWidth="1"/>
  </cols>
  <sheetData>
    <row r="1" spans="1:12" ht="16" x14ac:dyDescent="0.2">
      <c r="A1" s="1" t="s">
        <v>192</v>
      </c>
    </row>
    <row r="3" spans="1:12" ht="16" x14ac:dyDescent="0.2">
      <c r="A3" s="2" t="s">
        <v>67</v>
      </c>
      <c r="B3" s="2" t="s">
        <v>193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  <c r="H3" s="2" t="s">
        <v>199</v>
      </c>
      <c r="I3" s="2" t="s">
        <v>200</v>
      </c>
      <c r="J3" s="2" t="s">
        <v>201</v>
      </c>
      <c r="K3" s="2" t="s">
        <v>202</v>
      </c>
      <c r="L3" s="2" t="s">
        <v>203</v>
      </c>
    </row>
    <row r="4" spans="1:12" ht="16" x14ac:dyDescent="0.2">
      <c r="A4" s="4">
        <v>1</v>
      </c>
      <c r="B4" s="5" t="s">
        <v>204</v>
      </c>
      <c r="C4" s="4" t="s">
        <v>205</v>
      </c>
      <c r="D4" s="4">
        <v>20</v>
      </c>
      <c r="E4" s="4">
        <f>'04_Extrapolation_Engine'!P4</f>
        <v>11</v>
      </c>
      <c r="F4" s="4">
        <v>4</v>
      </c>
      <c r="G4" s="4">
        <v>16</v>
      </c>
      <c r="H4" s="8">
        <v>100</v>
      </c>
      <c r="I4" s="8">
        <f t="shared" ref="I4:I15" si="0">E4*F4</f>
        <v>44</v>
      </c>
      <c r="J4" s="8">
        <f t="shared" ref="J4:J15" si="1">E4*G4</f>
        <v>176</v>
      </c>
      <c r="K4" s="8">
        <f t="shared" ref="K4:K15" si="2">E4*H4</f>
        <v>1100</v>
      </c>
      <c r="L4" s="5" t="s">
        <v>206</v>
      </c>
    </row>
    <row r="5" spans="1:12" ht="16" x14ac:dyDescent="0.2">
      <c r="A5" s="4">
        <v>2</v>
      </c>
      <c r="B5" s="5" t="s">
        <v>207</v>
      </c>
      <c r="C5" s="4" t="s">
        <v>205</v>
      </c>
      <c r="D5" s="4">
        <v>9</v>
      </c>
      <c r="E5" s="4">
        <f>'04_Extrapolation_Engine'!P5</f>
        <v>4</v>
      </c>
      <c r="F5" s="4">
        <v>4</v>
      </c>
      <c r="G5" s="4">
        <v>16</v>
      </c>
      <c r="H5" s="8">
        <v>100</v>
      </c>
      <c r="I5" s="8">
        <f t="shared" si="0"/>
        <v>16</v>
      </c>
      <c r="J5" s="8">
        <f t="shared" si="1"/>
        <v>64</v>
      </c>
      <c r="K5" s="8">
        <f t="shared" si="2"/>
        <v>400</v>
      </c>
      <c r="L5" s="5" t="s">
        <v>206</v>
      </c>
    </row>
    <row r="6" spans="1:12" ht="16" x14ac:dyDescent="0.2">
      <c r="A6" s="4">
        <v>3</v>
      </c>
      <c r="B6" s="5" t="s">
        <v>208</v>
      </c>
      <c r="C6" s="4" t="s">
        <v>205</v>
      </c>
      <c r="D6" s="4">
        <v>4</v>
      </c>
      <c r="E6" s="4">
        <f>'04_Extrapolation_Engine'!P6</f>
        <v>2</v>
      </c>
      <c r="F6" s="4">
        <v>4</v>
      </c>
      <c r="G6" s="4">
        <v>16</v>
      </c>
      <c r="H6" s="8">
        <v>100</v>
      </c>
      <c r="I6" s="8">
        <f t="shared" si="0"/>
        <v>8</v>
      </c>
      <c r="J6" s="8">
        <f t="shared" si="1"/>
        <v>32</v>
      </c>
      <c r="K6" s="8">
        <f t="shared" si="2"/>
        <v>200</v>
      </c>
      <c r="L6" s="5" t="s">
        <v>206</v>
      </c>
    </row>
    <row r="7" spans="1:12" ht="16" x14ac:dyDescent="0.2">
      <c r="A7" s="4">
        <v>4</v>
      </c>
      <c r="B7" s="5" t="s">
        <v>209</v>
      </c>
      <c r="C7" s="4" t="s">
        <v>205</v>
      </c>
      <c r="D7" s="4">
        <v>13</v>
      </c>
      <c r="E7" s="4">
        <f>'04_Extrapolation_Engine'!P7</f>
        <v>8</v>
      </c>
      <c r="F7" s="4">
        <v>4</v>
      </c>
      <c r="G7" s="4">
        <v>16</v>
      </c>
      <c r="H7" s="8">
        <v>100</v>
      </c>
      <c r="I7" s="8">
        <f t="shared" si="0"/>
        <v>32</v>
      </c>
      <c r="J7" s="8">
        <f t="shared" si="1"/>
        <v>128</v>
      </c>
      <c r="K7" s="8">
        <f t="shared" si="2"/>
        <v>800</v>
      </c>
      <c r="L7" s="5" t="s">
        <v>206</v>
      </c>
    </row>
    <row r="8" spans="1:12" ht="16" x14ac:dyDescent="0.2">
      <c r="A8" s="4">
        <v>5</v>
      </c>
      <c r="B8" s="5" t="s">
        <v>210</v>
      </c>
      <c r="C8" s="4" t="s">
        <v>211</v>
      </c>
      <c r="D8" s="4">
        <v>1</v>
      </c>
      <c r="E8" s="4">
        <f>'04_Extrapolation_Engine'!P8</f>
        <v>1</v>
      </c>
      <c r="F8" s="4">
        <v>16</v>
      </c>
      <c r="G8" s="4">
        <v>32</v>
      </c>
      <c r="H8" s="8">
        <v>128</v>
      </c>
      <c r="I8" s="8">
        <f t="shared" si="0"/>
        <v>16</v>
      </c>
      <c r="J8" s="8">
        <f t="shared" si="1"/>
        <v>32</v>
      </c>
      <c r="K8" s="8">
        <f t="shared" si="2"/>
        <v>128</v>
      </c>
      <c r="L8" s="5" t="s">
        <v>212</v>
      </c>
    </row>
    <row r="9" spans="1:12" ht="16" x14ac:dyDescent="0.2">
      <c r="A9" s="4">
        <v>6</v>
      </c>
      <c r="B9" s="5" t="s">
        <v>213</v>
      </c>
      <c r="C9" s="4" t="s">
        <v>211</v>
      </c>
      <c r="D9" s="4">
        <v>2</v>
      </c>
      <c r="E9" s="4">
        <f>'04_Extrapolation_Engine'!P16</f>
        <v>1</v>
      </c>
      <c r="F9" s="4">
        <v>8</v>
      </c>
      <c r="G9" s="4">
        <v>16</v>
      </c>
      <c r="H9" s="8">
        <v>200</v>
      </c>
      <c r="I9" s="8">
        <f t="shared" si="0"/>
        <v>8</v>
      </c>
      <c r="J9" s="8">
        <f t="shared" si="1"/>
        <v>16</v>
      </c>
      <c r="K9" s="8">
        <f t="shared" si="2"/>
        <v>200</v>
      </c>
      <c r="L9" s="5" t="s">
        <v>212</v>
      </c>
    </row>
    <row r="10" spans="1:12" ht="16" x14ac:dyDescent="0.2">
      <c r="A10" s="4">
        <v>7</v>
      </c>
      <c r="B10" s="5" t="s">
        <v>128</v>
      </c>
      <c r="C10" s="4" t="s">
        <v>211</v>
      </c>
      <c r="D10" s="4">
        <v>3</v>
      </c>
      <c r="E10" s="4">
        <f>'04_Extrapolation_Engine'!P17</f>
        <v>1</v>
      </c>
      <c r="F10" s="4">
        <v>8</v>
      </c>
      <c r="G10" s="4">
        <v>16</v>
      </c>
      <c r="H10" s="8">
        <v>200</v>
      </c>
      <c r="I10" s="8">
        <f t="shared" si="0"/>
        <v>8</v>
      </c>
      <c r="J10" s="8">
        <f t="shared" si="1"/>
        <v>16</v>
      </c>
      <c r="K10" s="8">
        <f t="shared" si="2"/>
        <v>200</v>
      </c>
      <c r="L10" s="5" t="s">
        <v>214</v>
      </c>
    </row>
    <row r="11" spans="1:12" ht="16" x14ac:dyDescent="0.2">
      <c r="A11" s="4">
        <v>8</v>
      </c>
      <c r="B11" s="5" t="s">
        <v>129</v>
      </c>
      <c r="C11" s="4" t="s">
        <v>211</v>
      </c>
      <c r="D11" s="4">
        <v>3</v>
      </c>
      <c r="E11" s="4">
        <f>'04_Extrapolation_Engine'!P18</f>
        <v>2</v>
      </c>
      <c r="F11" s="4">
        <v>16</v>
      </c>
      <c r="G11" s="4">
        <v>32</v>
      </c>
      <c r="H11" s="8">
        <v>1000</v>
      </c>
      <c r="I11" s="8">
        <f t="shared" si="0"/>
        <v>32</v>
      </c>
      <c r="J11" s="8">
        <f t="shared" si="1"/>
        <v>64</v>
      </c>
      <c r="K11" s="8">
        <f t="shared" si="2"/>
        <v>2000</v>
      </c>
      <c r="L11" s="5" t="s">
        <v>215</v>
      </c>
    </row>
    <row r="12" spans="1:12" ht="16" x14ac:dyDescent="0.2">
      <c r="A12" s="4">
        <v>9</v>
      </c>
      <c r="B12" s="5" t="s">
        <v>216</v>
      </c>
      <c r="C12" s="4" t="s">
        <v>211</v>
      </c>
      <c r="D12" s="4">
        <v>3</v>
      </c>
      <c r="E12" s="4">
        <f>'04_Extrapolation_Engine'!P19</f>
        <v>2</v>
      </c>
      <c r="F12" s="4">
        <v>8</v>
      </c>
      <c r="G12" s="4">
        <v>32</v>
      </c>
      <c r="H12" s="8">
        <v>500</v>
      </c>
      <c r="I12" s="8">
        <f t="shared" si="0"/>
        <v>16</v>
      </c>
      <c r="J12" s="8">
        <f t="shared" si="1"/>
        <v>64</v>
      </c>
      <c r="K12" s="8">
        <f t="shared" si="2"/>
        <v>1000</v>
      </c>
      <c r="L12" s="5" t="s">
        <v>217</v>
      </c>
    </row>
    <row r="13" spans="1:12" ht="16" x14ac:dyDescent="0.2">
      <c r="A13" s="4">
        <v>10</v>
      </c>
      <c r="B13" s="5" t="s">
        <v>218</v>
      </c>
      <c r="C13" s="4" t="s">
        <v>219</v>
      </c>
      <c r="D13" s="4">
        <v>2</v>
      </c>
      <c r="E13" s="4">
        <v>2</v>
      </c>
      <c r="F13" s="4">
        <v>16</v>
      </c>
      <c r="G13" s="4">
        <v>128</v>
      </c>
      <c r="H13" s="8">
        <f>'06_Database_Capacity'!K4</f>
        <v>45974.661682128906</v>
      </c>
      <c r="I13" s="8">
        <f t="shared" si="0"/>
        <v>32</v>
      </c>
      <c r="J13" s="8">
        <f t="shared" si="1"/>
        <v>256</v>
      </c>
      <c r="K13" s="8">
        <f t="shared" si="2"/>
        <v>91949.323364257812</v>
      </c>
      <c r="L13" s="5" t="s">
        <v>220</v>
      </c>
    </row>
    <row r="14" spans="1:12" ht="16" x14ac:dyDescent="0.2">
      <c r="A14" s="4">
        <v>11</v>
      </c>
      <c r="B14" s="5" t="s">
        <v>169</v>
      </c>
      <c r="C14" s="4" t="s">
        <v>219</v>
      </c>
      <c r="D14" s="4">
        <v>1</v>
      </c>
      <c r="E14" s="4">
        <v>1</v>
      </c>
      <c r="F14" s="4">
        <v>16</v>
      </c>
      <c r="G14" s="4">
        <v>128</v>
      </c>
      <c r="H14" s="8">
        <f>'06_Database_Capacity'!K6</f>
        <v>7985.822509765625</v>
      </c>
      <c r="I14" s="8">
        <f t="shared" si="0"/>
        <v>16</v>
      </c>
      <c r="J14" s="8">
        <f t="shared" si="1"/>
        <v>128</v>
      </c>
      <c r="K14" s="8">
        <f t="shared" si="2"/>
        <v>7985.822509765625</v>
      </c>
      <c r="L14" s="5" t="s">
        <v>220</v>
      </c>
    </row>
    <row r="15" spans="1:12" ht="16" x14ac:dyDescent="0.2">
      <c r="A15" s="4">
        <v>12</v>
      </c>
      <c r="B15" s="5" t="s">
        <v>221</v>
      </c>
      <c r="C15" s="4" t="s">
        <v>222</v>
      </c>
      <c r="D15" s="4">
        <v>2</v>
      </c>
      <c r="E15" s="4">
        <v>2</v>
      </c>
      <c r="F15" s="4">
        <v>64</v>
      </c>
      <c r="G15" s="4">
        <v>1024</v>
      </c>
      <c r="H15" s="8">
        <f>'06_Database_Capacity'!K7</f>
        <v>17398.460388183594</v>
      </c>
      <c r="I15" s="8">
        <f t="shared" si="0"/>
        <v>128</v>
      </c>
      <c r="J15" s="8">
        <f t="shared" si="1"/>
        <v>2048</v>
      </c>
      <c r="K15" s="8">
        <f t="shared" si="2"/>
        <v>34796.920776367188</v>
      </c>
      <c r="L15" s="5" t="s">
        <v>223</v>
      </c>
    </row>
    <row r="16" spans="1:12" x14ac:dyDescent="0.2">
      <c r="A16" s="17"/>
      <c r="B16" s="18" t="s">
        <v>224</v>
      </c>
      <c r="C16" s="17"/>
      <c r="D16" s="17"/>
      <c r="E16" s="17"/>
      <c r="F16" s="17"/>
      <c r="G16" s="17"/>
      <c r="H16" s="17"/>
      <c r="I16" s="19">
        <f>SUM(I4:I15)</f>
        <v>356</v>
      </c>
      <c r="J16" s="19">
        <f>SUM(J4:J15)</f>
        <v>3024</v>
      </c>
      <c r="K16" s="19">
        <f>SUM(K4:K15)</f>
        <v>140760.06665039062</v>
      </c>
      <c r="L16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00_Cover_&amp;_Control</vt:lpstr>
      <vt:lpstr>01_Business_Growth_Plan</vt:lpstr>
      <vt:lpstr>03_PT_Baseline_Data</vt:lpstr>
      <vt:lpstr>04_Extrapolation_Engine</vt:lpstr>
      <vt:lpstr>06_Database_Capacity</vt:lpstr>
      <vt:lpstr>07_Redis_&amp;_Middleware</vt:lpstr>
      <vt:lpstr>09_Hardware_BOM_Summary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FAISAL AFFAN</cp:lastModifiedBy>
  <dcterms:created xsi:type="dcterms:W3CDTF">2026-08-26T10:08:26Z</dcterms:created>
  <dcterms:modified xsi:type="dcterms:W3CDTF">2026-08-26T10:48:01Z</dcterms:modified>
</cp:coreProperties>
</file>