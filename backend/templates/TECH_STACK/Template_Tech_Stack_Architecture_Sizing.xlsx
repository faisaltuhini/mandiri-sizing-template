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HLD Architecture" sheetId="1" state="visible" r:id="rId1"/>
    <sheet xmlns:r="http://schemas.openxmlformats.org/officeDocument/2006/relationships" name="Template Tech Stack" sheetId="2" state="visible" r:id="rId2"/>
    <sheet xmlns:r="http://schemas.openxmlformats.org/officeDocument/2006/relationships" name="Sizing Tier Moderate (IHSP RMT)" sheetId="3" state="visible" r:id="rId3"/>
    <sheet xmlns:r="http://schemas.openxmlformats.org/officeDocument/2006/relationships" name="Sizing Tier Critical (LM)" sheetId="4" state="visible" r:id="rId4"/>
    <sheet xmlns:r="http://schemas.openxmlformats.org/officeDocument/2006/relationships" name="Pricing" sheetId="5" state="visible" r:id="rId5"/>
    <sheet xmlns:r="http://schemas.openxmlformats.org/officeDocument/2006/relationships" name="Formula &amp; Guideli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[$Rp-3809]* #,##0.00_-;\-[$Rp-3809]* #,##0.00_-;_-[$Rp-3809]* &quot;-&quot;??_-;_-@_-"/>
  </numFmts>
  <fonts count="2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Calibri"/>
      <b val="1"/>
      <color rgb="00FFFFFF"/>
      <sz val="11"/>
    </font>
    <font>
      <name val="Segoe UI"/>
      <color rgb="00E0E8F5"/>
      <sz val="10"/>
    </font>
    <font>
      <name val="Calibri"/>
      <b val="1"/>
      <sz val="11"/>
    </font>
    <font>
      <name val="Calibri"/>
      <sz val="11"/>
    </font>
    <font>
      <name val="Calibri"/>
      <b val="1"/>
      <color rgb="001B365D"/>
      <sz val="13"/>
    </font>
    <font>
      <name val="Calibri"/>
      <b val="1"/>
      <sz val="12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276A3C"/>
      <sz val="10"/>
    </font>
    <font>
      <name val="Calibri"/>
      <b val="1"/>
      <color rgb="001F4E79"/>
      <sz val="10"/>
    </font>
    <font>
      <name val="Calibri"/>
      <b val="1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000000"/>
      <sz val="12"/>
      <scheme val="minor"/>
    </font>
    <font>
      <name val="Calibri"/>
      <b val="1"/>
      <color rgb="FF000000"/>
      <sz val="12"/>
    </font>
    <font>
      <name val="Calibri"/>
      <b val="1"/>
      <color rgb="FFFFFFFF"/>
      <sz val="12"/>
    </font>
  </fonts>
  <fills count="2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F0F4F8"/>
        <bgColor rgb="00F0F4F8"/>
      </patternFill>
    </fill>
    <fill>
      <patternFill patternType="solid">
        <fgColor rgb="00305496"/>
        <bgColor rgb="00305496"/>
      </patternFill>
    </fill>
    <fill>
      <patternFill patternType="solid">
        <fgColor rgb="00418AB3"/>
        <bgColor rgb="00418AB3"/>
      </patternFill>
    </fill>
    <fill>
      <patternFill patternType="solid">
        <fgColor rgb="00C65911"/>
        <bgColor rgb="00C65911"/>
      </patternFill>
    </fill>
    <fill>
      <patternFill patternType="solid">
        <fgColor rgb="00F9FAFB"/>
        <bgColor rgb="00F9FAFB"/>
      </patternFill>
    </fill>
    <fill>
      <patternFill patternType="solid">
        <fgColor rgb="00205D67"/>
        <bgColor rgb="00205D67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FFFFC000"/>
        <bgColor rgb="FFFFC000"/>
      </patternFill>
    </fill>
    <fill>
      <patternFill patternType="solid">
        <fgColor rgb="FFE8EEF5"/>
        <bgColor rgb="FFE8EEF5"/>
      </patternFill>
    </fill>
    <fill>
      <patternFill patternType="solid">
        <fgColor rgb="FF1B365D"/>
        <bgColor rgb="FF1B365D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2060"/>
      </patternFill>
    </fill>
  </fills>
  <borders count="11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FFFFFF"/>
      </left>
      <right style="thin">
        <color rgb="00FFFFFF"/>
      </right>
      <top style="thin">
        <color rgb="00305496"/>
      </top>
      <bottom style="medium">
        <color rgb="00305496"/>
      </bottom>
    </border>
    <border>
      <left style="thin">
        <color rgb="00D0D5DD"/>
      </left>
      <right style="thin">
        <color rgb="00D0D5DD"/>
      </right>
      <top style="thin">
        <color rgb="00305496"/>
      </top>
      <bottom style="double">
        <color rgb="00305496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double">
        <color rgb="00305496"/>
      </bottom>
    </border>
    <border>
      <left style="thin">
        <color rgb="00D0D5DD"/>
      </left>
      <right style="thin">
        <color rgb="00D0D5DD"/>
      </right>
      <top style="thin">
        <color rgb="001B365D"/>
      </top>
      <bottom style="double">
        <color rgb="001B365D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0" fillId="0" borderId="1" pivotButton="0" quotePrefix="0" xfId="0"/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8" borderId="1" pivotButton="0" quotePrefix="0" xfId="0"/>
    <xf numFmtId="0" fontId="11" fillId="2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9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/>
    </xf>
    <xf numFmtId="3" fontId="10" fillId="12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0" fontId="0" fillId="5" borderId="0" pivotButton="0" quotePrefix="0" xfId="0"/>
    <xf numFmtId="0" fontId="0" fillId="7" borderId="0" pivotButton="0" quotePrefix="0" xfId="0"/>
    <xf numFmtId="0" fontId="10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/>
    </xf>
    <xf numFmtId="3" fontId="10" fillId="13" borderId="1" applyAlignment="1" pivotButton="0" quotePrefix="0" xfId="0">
      <alignment horizontal="right" vertical="center"/>
    </xf>
    <xf numFmtId="164" fontId="10" fillId="13" borderId="1" applyAlignment="1" pivotButton="0" quotePrefix="0" xfId="0">
      <alignment horizontal="right" vertical="center"/>
    </xf>
    <xf numFmtId="0" fontId="4" fillId="3" borderId="3" applyAlignment="1" pivotButton="0" quotePrefix="0" xfId="0">
      <alignment horizontal="center" vertical="center" wrapText="1"/>
    </xf>
    <xf numFmtId="0" fontId="4" fillId="3" borderId="3" pivotButton="0" quotePrefix="0" xfId="0"/>
    <xf numFmtId="3" fontId="4" fillId="3" borderId="3" pivotButton="0" quotePrefix="0" xfId="0"/>
    <xf numFmtId="164" fontId="4" fillId="3" borderId="3" pivotButton="0" quotePrefix="0" xfId="0"/>
    <xf numFmtId="0" fontId="15" fillId="14" borderId="1" pivotButton="0" quotePrefix="0" xfId="0"/>
    <xf numFmtId="0" fontId="0" fillId="14" borderId="1" pivotButton="0" quotePrefix="0" xfId="0"/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/>
    </xf>
    <xf numFmtId="164" fontId="16" fillId="0" borderId="1" applyAlignment="1" pivotButton="0" quotePrefix="0" xfId="0">
      <alignment horizontal="right" vertical="center"/>
    </xf>
    <xf numFmtId="3" fontId="16" fillId="0" borderId="1" applyAlignment="1" pivotButton="0" quotePrefix="0" xfId="0">
      <alignment horizontal="center" vertical="center" wrapText="1"/>
    </xf>
    <xf numFmtId="0" fontId="0" fillId="15" borderId="4" pivotButton="0" quotePrefix="0" xfId="0"/>
    <xf numFmtId="0" fontId="15" fillId="15" borderId="4" applyAlignment="1" pivotButton="0" quotePrefix="0" xfId="0">
      <alignment horizontal="left" vertical="center"/>
    </xf>
    <xf numFmtId="164" fontId="15" fillId="15" borderId="4" applyAlignment="1" pivotButton="0" quotePrefix="0" xfId="0">
      <alignment horizontal="right" vertical="center"/>
    </xf>
    <xf numFmtId="0" fontId="11" fillId="16" borderId="5" applyAlignment="1" pivotButton="0" quotePrefix="0" xfId="0">
      <alignment horizontal="left" vertical="center"/>
    </xf>
    <xf numFmtId="0" fontId="0" fillId="16" borderId="5" pivotButton="0" quotePrefix="0" xfId="0"/>
    <xf numFmtId="164" fontId="11" fillId="16" borderId="5" applyAlignment="1" pivotButton="0" quotePrefix="0" xfId="0">
      <alignment horizontal="right" vertical="center"/>
    </xf>
    <xf numFmtId="0" fontId="11" fillId="7" borderId="0" pivotButton="0" quotePrefix="0" xfId="0"/>
    <xf numFmtId="0" fontId="21" fillId="14" borderId="6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22" fillId="19" borderId="6" applyAlignment="1" pivotButton="0" quotePrefix="0" xfId="0">
      <alignment horizontal="center"/>
    </xf>
    <xf numFmtId="0" fontId="18" fillId="0" borderId="6" applyAlignment="1" pivotButton="0" quotePrefix="0" xfId="0">
      <alignment horizontal="center"/>
    </xf>
    <xf numFmtId="0" fontId="18" fillId="0" borderId="6" pivotButton="0" quotePrefix="0" xfId="0"/>
    <xf numFmtId="3" fontId="20" fillId="0" borderId="6" pivotButton="0" quotePrefix="0" xfId="0"/>
    <xf numFmtId="3" fontId="18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6" customWidth="1" min="3" max="3"/>
    <col width="36" customWidth="1" min="4" max="4"/>
    <col width="28" customWidth="1" min="5" max="5"/>
    <col width="24" customWidth="1" min="6" max="6"/>
    <col width="24" customWidth="1" min="7" max="7"/>
    <col width="24" customWidth="1" min="8" max="8"/>
    <col width="32" customWidth="1" min="9" max="9"/>
  </cols>
  <sheetData>
    <row r="2" ht="22" customHeight="1">
      <c r="B2" s="1" t="inlineStr">
        <is>
          <t>BASELINE ARSITEKTUR &amp; SIZING INFRASTRUKTUR IT</t>
        </is>
      </c>
      <c r="C2" s="2" t="n"/>
      <c r="D2" s="2" t="n"/>
      <c r="E2" s="2" t="n"/>
      <c r="F2" s="2" t="n"/>
      <c r="G2" s="2" t="n"/>
      <c r="H2" s="2" t="n"/>
      <c r="I2" s="2" t="n"/>
    </row>
    <row r="3" ht="22" customHeight="1">
      <c r="B3" s="3" t="inlineStr">
        <is>
          <t>STANDAR KOMPARASI: TIER MODERATE (IHSP/RMT) VS TIER CRITICAL (LIVIN' MERCHANT)</t>
        </is>
      </c>
      <c r="C3" s="2" t="n"/>
      <c r="D3" s="2" t="n"/>
      <c r="E3" s="2" t="n"/>
      <c r="F3" s="2" t="n"/>
      <c r="G3" s="2" t="n"/>
      <c r="H3" s="2" t="n"/>
      <c r="I3" s="2" t="n"/>
    </row>
    <row r="4" ht="22" customHeight="1">
      <c r="B4" s="4" t="inlineStr">
        <is>
          <t>Dokumen Acuan: EA Forum C STM2601010 (IHSP), Capacity Plan RMT, &amp; EA Forum B DRB2502010 (Livin' Merchant)</t>
        </is>
      </c>
      <c r="C4" s="2" t="n"/>
      <c r="D4" s="2" t="n"/>
      <c r="E4" s="2" t="n"/>
      <c r="F4" s="2" t="n"/>
      <c r="G4" s="2" t="n"/>
      <c r="H4" s="2" t="n"/>
      <c r="I4" s="2" t="n"/>
    </row>
    <row r="6" ht="22" customHeight="1">
      <c r="B6" s="5" t="inlineStr"/>
      <c r="C6" s="6" t="inlineStr">
        <is>
          <t>Nama Dokumen</t>
        </is>
      </c>
      <c r="D6" s="7" t="inlineStr">
        <is>
          <t>Baseline Sizing Infrastruktur &amp; Technology Stack</t>
        </is>
      </c>
      <c r="E6" s="5" t="n"/>
      <c r="F6" s="6" t="inlineStr">
        <is>
          <t>Target Environment</t>
        </is>
      </c>
      <c r="G6" s="7" t="inlineStr">
        <is>
          <t>Production (DC Wisdan &amp; DRC Rempoa), PT, DEV &amp; UAT</t>
        </is>
      </c>
      <c r="H6" s="5" t="n"/>
      <c r="I6" s="5" t="n"/>
    </row>
    <row r="7" ht="22" customHeight="1">
      <c r="B7" s="5" t="inlineStr"/>
      <c r="C7" s="6" t="inlineStr">
        <is>
          <t>Sistem Acuan Moderate</t>
        </is>
      </c>
      <c r="D7" s="7" t="inlineStr">
        <is>
          <t>Integrated HC Suite Platform (IHSP) &amp; RM Tools (RMT)</t>
        </is>
      </c>
      <c r="E7" s="5" t="n"/>
      <c r="F7" s="6" t="inlineStr">
        <is>
          <t>Sistem Acuan Critical</t>
        </is>
      </c>
      <c r="G7" s="7" t="inlineStr">
        <is>
          <t>Livin' Merchant (LM) - Merchant App 2026 Release 6</t>
        </is>
      </c>
      <c r="H7" s="5" t="n"/>
      <c r="I7" s="5" t="n"/>
    </row>
    <row r="8" ht="22" customHeight="1">
      <c r="B8" s="5" t="inlineStr"/>
      <c r="C8" s="6" t="inlineStr">
        <is>
          <t>Arsitektur Database</t>
        </is>
      </c>
      <c r="D8" s="7" t="inlineStr">
        <is>
          <t>Moderate: Single Node VM Data Guard (Tanpa RAC)</t>
        </is>
      </c>
      <c r="E8" s="5" t="n"/>
      <c r="F8" s="6" t="inlineStr">
        <is>
          <t>Database Critical</t>
        </is>
      </c>
      <c r="G8" s="7" t="inlineStr">
        <is>
          <t>Critical: Oracle RAC Bare Metal + 5.5 TB ASM SAN Storage</t>
        </is>
      </c>
      <c r="H8" s="5" t="n"/>
      <c r="I8" s="5" t="n"/>
    </row>
    <row r="9" ht="22" customHeight="1">
      <c r="B9" s="5" t="inlineStr"/>
      <c r="C9" s="6" t="inlineStr">
        <is>
          <t>Klasifikasi EA Forum</t>
        </is>
      </c>
      <c r="D9" s="7" t="inlineStr">
        <is>
          <t>Moderate: Forum C (STM2601010) | Critical: Forum B</t>
        </is>
      </c>
      <c r="E9" s="5" t="n"/>
      <c r="F9" s="6" t="inlineStr">
        <is>
          <t>Pola Logging &amp; Monitoring</t>
        </is>
      </c>
      <c r="G9" s="7" t="inlineStr">
        <is>
          <t>Moderate: ELK Co-located / Shared | Critical: ELK Dedicated Cluster (Logstash Terpisah)</t>
        </is>
      </c>
      <c r="H9" s="5" t="n"/>
      <c r="I9" s="5" t="n"/>
    </row>
    <row r="11" ht="26" customHeight="1">
      <c r="B11" s="8" t="inlineStr">
        <is>
          <t>RINGKASAN SIZING &amp; ALOKASI RESOURCE (BASELINE)</t>
        </is>
      </c>
    </row>
    <row r="12" ht="24" customHeight="1">
      <c r="C12" s="9" t="inlineStr">
        <is>
          <t>Tier Moderate Compute</t>
        </is>
      </c>
      <c r="E12" s="10" t="inlineStr">
        <is>
          <t>Tier Moderate Storage</t>
        </is>
      </c>
      <c r="G12" s="11" t="inlineStr">
        <is>
          <t>Tier Critical Compute</t>
        </is>
      </c>
      <c r="I12" s="12" t="inlineStr">
        <is>
          <t>Tier Critical Storage</t>
        </is>
      </c>
    </row>
    <row r="13" ht="28" customHeight="1">
      <c r="C13" s="13" t="inlineStr">
        <is>
          <t>14 VM Nodes</t>
        </is>
      </c>
      <c r="E13" s="13" t="inlineStr">
        <is>
          <t>4.500 GB (4.5 TB)</t>
        </is>
      </c>
      <c r="G13" s="13" t="inlineStr">
        <is>
          <t>28 Dedicated Nodes</t>
        </is>
      </c>
      <c r="I13" s="13" t="inlineStr">
        <is>
          <t>24.500 GB (24.5 TB)</t>
        </is>
      </c>
    </row>
    <row r="14" ht="24" customHeight="1">
      <c r="C14" s="14" t="inlineStr">
        <is>
          <t>112 vCPU | 256 GB RAM (IHSP/RMT)</t>
        </is>
      </c>
      <c r="E14" s="14" t="inlineStr">
        <is>
          <t>SAN Tier 2 LUN Virtual Disk</t>
        </is>
      </c>
      <c r="G14" s="14" t="inlineStr">
        <is>
          <t>384 vCPU | 4.8 TB RAM (incl 4 BM)</t>
        </is>
      </c>
      <c r="I14" s="14" t="inlineStr">
        <is>
          <t>High-Perf ASM SAN Tier 2</t>
        </is>
      </c>
    </row>
    <row r="16" ht="26" customHeight="1">
      <c r="B16" s="8" t="inlineStr">
        <is>
          <t>MATRIKS KOMPARASI KOMPONEN TEKNOLOGI (MODERATE VS CRITICAL)</t>
        </is>
      </c>
    </row>
    <row r="17" ht="24" customHeight="1">
      <c r="B17" s="15" t="inlineStr">
        <is>
          <t>No</t>
        </is>
      </c>
      <c r="C17" s="15" t="inlineStr">
        <is>
          <t>Layer Arsitektur</t>
        </is>
      </c>
      <c r="D17" s="15" t="inlineStr">
        <is>
          <t>Komponen Sistem</t>
        </is>
      </c>
      <c r="E17" s="15" t="inlineStr">
        <is>
          <t>Spesifikasi Tier Moderate (IHSP/RMT)</t>
        </is>
      </c>
      <c r="F17" s="15" t="inlineStr">
        <is>
          <t>Spesifikasi Tier Critical (Livin' Merchant)</t>
        </is>
      </c>
      <c r="G17" s="15" t="inlineStr">
        <is>
          <t>Ketentuan Lisensi &amp; Catatan EA</t>
        </is>
      </c>
      <c r="H17" s="15" t="n"/>
      <c r="I17" s="15" t="n"/>
    </row>
    <row r="18" ht="28" customHeight="1">
      <c r="B18" s="16" t="n">
        <v>1</v>
      </c>
      <c r="C18" s="17" t="inlineStr">
        <is>
          <t>Web Ingress</t>
        </is>
      </c>
      <c r="D18" s="17" t="inlineStr">
        <is>
          <t>NGINX Web Server</t>
        </is>
      </c>
      <c r="E18" s="18" t="inlineStr">
        <is>
          <t>2 VM per site (8 vCPU / 16GB / 100-200GB)</t>
        </is>
      </c>
      <c r="F18" s="18" t="inlineStr">
        <is>
          <t>2 VM per site (8-16 vCPU / 16-32GB / 100-200GB)</t>
        </is>
      </c>
      <c r="G18" s="18" t="inlineStr">
        <is>
          <t>Moderate: NGINX Community (Open Source). Critical: NGINX Plus Enterprise Subscription (Kontrak F5: TIF.DDL/GH.9076/2025).</t>
        </is>
      </c>
      <c r="H18" s="19" t="n"/>
      <c r="I18" s="19" t="n"/>
    </row>
    <row r="19" ht="28" customHeight="1">
      <c r="B19" s="20" t="n">
        <v>2</v>
      </c>
      <c r="C19" s="21" t="inlineStr">
        <is>
          <t>App Container</t>
        </is>
      </c>
      <c r="D19" s="21" t="inlineStr">
        <is>
          <t>Red Hat OCP Worker</t>
        </is>
      </c>
      <c r="E19" s="22" t="inlineStr">
        <is>
          <t>1 Worker VM per site (64 vCPU / 1024GB / 300GB)</t>
        </is>
      </c>
      <c r="F19" s="22" t="inlineStr">
        <is>
          <t>2 Dedicated Bare Metal Workers per site (64 vCPU / 1024GB / 300GB)</t>
        </is>
      </c>
      <c r="G19" s="22" t="inlineStr">
        <is>
          <t>Moderate: OCP Core Subscription. Critical: Red Hat OpenShift Platform Plus Bare Metal Node Premium (Kontrak TIF.DDL/GH.1993/2025).</t>
        </is>
      </c>
      <c r="H19" s="23" t="n"/>
      <c r="I19" s="23" t="n"/>
    </row>
    <row r="20" ht="28" customHeight="1">
      <c r="B20" s="16" t="n">
        <v>3</v>
      </c>
      <c r="C20" s="17" t="inlineStr">
        <is>
          <t>Container Router</t>
        </is>
      </c>
      <c r="D20" s="17" t="inlineStr">
        <is>
          <t>OCP Infra Router &amp; Bastion</t>
        </is>
      </c>
      <c r="E20" s="18" t="inlineStr">
        <is>
          <t>3 Infra Router (8/32/150) + 1 Bastion HA (4/8/100)</t>
        </is>
      </c>
      <c r="F20" s="18" t="inlineStr">
        <is>
          <t>Dedicated High-Throughput Ingress Router Pods</t>
        </is>
      </c>
      <c r="G20" s="18" t="inlineStr">
        <is>
          <t>Included dalam langganan Red Hat OpenShift Container Platform.</t>
        </is>
      </c>
      <c r="H20" s="19" t="n"/>
      <c r="I20" s="19" t="n"/>
    </row>
    <row r="21" ht="28" customHeight="1">
      <c r="B21" s="20" t="n">
        <v>4</v>
      </c>
      <c r="C21" s="21" t="inlineStr">
        <is>
          <t>Core Database</t>
        </is>
      </c>
      <c r="D21" s="21" t="inlineStr">
        <is>
          <t>Database Engine (Oracle)</t>
        </is>
      </c>
      <c r="E21" s="22" t="inlineStr">
        <is>
          <t>Single Node VM Data Guard (16 vCPU / 32GB / 1000GB)</t>
        </is>
      </c>
      <c r="F21" s="22" t="inlineStr">
        <is>
          <t>Oracle RAC Bare Metal (2x 64-Core BM per site + Active Data Guard)</t>
        </is>
      </c>
      <c r="G21" s="22" t="inlineStr">
        <is>
          <t>Moderate: Oracle DB Enterprise (tanpa RAC Option untuk efisiensi lisensi core). Critical: Oracle RAC Bare Metal (High TPS &amp; zero data loss, Kontrak TIF.DDL/SCD.3585/2025).</t>
        </is>
      </c>
      <c r="H21" s="23" t="n"/>
      <c r="I21" s="23" t="n"/>
    </row>
    <row r="22" ht="28" customHeight="1">
      <c r="B22" s="16" t="n">
        <v>5</v>
      </c>
      <c r="C22" s="17" t="inlineStr">
        <is>
          <t>Database Storage</t>
        </is>
      </c>
      <c r="D22" s="17" t="inlineStr">
        <is>
          <t>Oracle ASM Shared Storage</t>
        </is>
      </c>
      <c r="E22" s="18" t="inlineStr">
        <is>
          <t>Storage SAN Tier 2 Virtual LUN (1.0 TB - 1.5 TB)</t>
        </is>
      </c>
      <c r="F22" s="18" t="inlineStr">
        <is>
          <t>Storage SAN Tier 2 High-Performance ASM (5.5 TB: Reco 500GB, Data 5TB)</t>
        </is>
      </c>
      <c r="G22" s="18" t="inlineStr">
        <is>
          <t>Diskgroup tablespace data dan Fast Recovery Area (FRA) berbasis ASM striping.</t>
        </is>
      </c>
      <c r="H22" s="19" t="n"/>
      <c r="I22" s="19" t="n"/>
    </row>
    <row r="23" ht="28" customHeight="1">
      <c r="B23" s="20" t="n">
        <v>6</v>
      </c>
      <c r="C23" s="21" t="inlineStr">
        <is>
          <t>Distributed Cache</t>
        </is>
      </c>
      <c r="D23" s="21" t="inlineStr">
        <is>
          <t>Redis Caching Cluster</t>
        </is>
      </c>
      <c r="E23" s="22" t="inlineStr">
        <is>
          <t>1-3 VM (8 vCPU / 16GB / 200GB)</t>
        </is>
      </c>
      <c r="F23" s="22" t="inlineStr">
        <is>
          <t>3 VM Multi-Shard (8 vCPU / 32GB / 200GB)</t>
        </is>
      </c>
      <c r="G23" s="22" t="inlineStr">
        <is>
          <t>Moderate: Redis Community (Open Source). Critical: Redis Enterprise Software Subscription (Kontrak TIF.DDL/GH.9080/2024).</t>
        </is>
      </c>
      <c r="H23" s="23" t="n"/>
      <c r="I23" s="23" t="n"/>
    </row>
    <row r="24" ht="28" customHeight="1">
      <c r="B24" s="16" t="n">
        <v>7</v>
      </c>
      <c r="C24" s="17" t="inlineStr">
        <is>
          <t>Cache Sentinel</t>
        </is>
      </c>
      <c r="D24" s="17" t="inlineStr">
        <is>
          <t>Redis Sentinel Quorum</t>
        </is>
      </c>
      <c r="E24" s="18" t="inlineStr">
        <is>
          <t>Co-located / 1 Standalone VM</t>
        </is>
      </c>
      <c r="F24" s="18" t="inlineStr">
        <is>
          <t>Dedicated Sentinel Quorum Arbiter antar-DC (Wisdan &amp; Rempoa)</t>
        </is>
      </c>
      <c r="G24" s="18" t="inlineStr">
        <is>
          <t>Arbiter quorum untuk deteksi failover otomatis dan promosi master Redis cross-DC.</t>
        </is>
      </c>
      <c r="H24" s="19" t="n"/>
      <c r="I24" s="19" t="n"/>
    </row>
    <row r="25" ht="28" customHeight="1">
      <c r="B25" s="20" t="n">
        <v>8</v>
      </c>
      <c r="C25" s="21" t="inlineStr">
        <is>
          <t>Message Bus</t>
        </is>
      </c>
      <c r="D25" s="21" t="inlineStr">
        <is>
          <t>Confluent / Apache Kafka</t>
        </is>
      </c>
      <c r="E25" s="22" t="inlineStr">
        <is>
          <t>3 VM (16 vCPU / 64GB / 600GB atau 8/16/1000GB)</t>
        </is>
      </c>
      <c r="F25" s="22" t="inlineStr">
        <is>
          <t>Dedicated Cluster 7 VM: 3 ZK (4/32/100) + 3 Broker (16/32/1000) + 1 C3 (8/16/100)</t>
        </is>
      </c>
      <c r="G25" s="22" t="inlineStr">
        <is>
          <t>Moderate: Kafka Community (Shared broker cluster). Critical: Confluent Kafka Enterprise Subscription (Kontrak TIF.DDL/GH.9075/2024).</t>
        </is>
      </c>
      <c r="H25" s="23" t="n"/>
      <c r="I25" s="23" t="n"/>
    </row>
    <row r="26" ht="28" customHeight="1">
      <c r="B26" s="16" t="n">
        <v>9</v>
      </c>
      <c r="C26" s="17" t="inlineStr">
        <is>
          <t>Log Analytics</t>
        </is>
      </c>
      <c r="D26" s="17" t="inlineStr">
        <is>
          <t>Elasticsearch Data Cluster</t>
        </is>
      </c>
      <c r="E26" s="18" t="inlineStr">
        <is>
          <t>Combined dengan Logstash (1 Logstash + 3 Master/Data 8/32/500)</t>
        </is>
      </c>
      <c r="F26" s="18" t="inlineStr">
        <is>
          <t>Dedicated Cluster 8 VM: 3 Master (8/32/50), 2 Hot Data (16/32/1900), 1 Warm, 2 Coordinator</t>
        </is>
      </c>
      <c r="G26" s="18" t="inlineStr">
        <is>
          <t>Moderate: OpenSearch / Elasticsearch Basic. Critical: Elasticsearch Platinum (Kontrak TIF.DDL/GH.9074/2024). Pemisahan node data hot &amp; master untuk kestabilan heap JVM.</t>
        </is>
      </c>
      <c r="H26" s="19" t="n"/>
      <c r="I26" s="19" t="n"/>
    </row>
    <row r="27" ht="28" customHeight="1">
      <c r="B27" s="20" t="n">
        <v>10</v>
      </c>
      <c r="C27" s="21" t="inlineStr">
        <is>
          <t>Log Shipper</t>
        </is>
      </c>
      <c r="D27" s="21" t="inlineStr">
        <is>
          <t>Logstash Pipeline Shipper</t>
        </is>
      </c>
      <c r="E27" s="22" t="inlineStr">
        <is>
          <t>Combined / Co-located pada server logging</t>
        </is>
      </c>
      <c r="F27" s="22" t="inlineStr">
        <is>
          <t>Dedicated 2 VM Logstash Shipper (PVLMEL01/02 8 vCPU / 32GB / 100GB)</t>
        </is>
      </c>
      <c r="G27" s="22" t="inlineStr">
        <is>
          <t>Moderate: Co-located. Critical: Wajib dipisah ke server tersendiri agar proses parsing Grok tidak membebani query indexing Elasticsearch.</t>
        </is>
      </c>
      <c r="H27" s="23" t="n"/>
      <c r="I27" s="23" t="n"/>
    </row>
    <row r="28" ht="28" customHeight="1">
      <c r="B28" s="16" t="n">
        <v>11</v>
      </c>
      <c r="C28" s="17" t="inlineStr">
        <is>
          <t>Log Dashboard</t>
        </is>
      </c>
      <c r="D28" s="17" t="inlineStr">
        <is>
          <t>Kibana Observability</t>
        </is>
      </c>
      <c r="E28" s="18" t="inlineStr">
        <is>
          <t>Shared Dashboard Portal</t>
        </is>
      </c>
      <c r="F28" s="18" t="inlineStr">
        <is>
          <t>Terintegrasi pada Coordinator Node (PVLMEC01/02 4 vCPU / 32GB / 50GB)</t>
        </is>
      </c>
      <c r="G28" s="18" t="inlineStr">
        <is>
          <t>Visualisasi audit log transaksi, tracing performa APM, dan dashboard operasional.</t>
        </is>
      </c>
      <c r="H28" s="19" t="n"/>
      <c r="I28" s="19" t="n"/>
    </row>
    <row r="29" ht="28" customHeight="1">
      <c r="B29" s="20" t="n">
        <v>12</v>
      </c>
      <c r="C29" s="21" t="inlineStr">
        <is>
          <t>Document Storage</t>
        </is>
      </c>
      <c r="D29" s="21" t="inlineStr">
        <is>
          <t>Object Storage / SFTP / RDM</t>
        </is>
      </c>
      <c r="E29" s="22" t="inlineStr">
        <is>
          <t>VM SFTP Server (8/16/1500) / MinIO S3 Gateway</t>
        </is>
      </c>
      <c r="F29" s="22" t="inlineStr">
        <is>
          <t>Storage Gateway SAN RDM (8/16/365) / Dell ECS Object Storage</t>
        </is>
      </c>
      <c r="G29" s="22" t="inlineStr">
        <is>
          <t>Media penyimpanan arsip dokumen, file transaksi QRIS, invoice merchant, dan pertukaran file MFT.</t>
        </is>
      </c>
      <c r="H29" s="23" t="n"/>
      <c r="I29" s="23" t="n"/>
    </row>
    <row r="30" ht="28" customHeight="1">
      <c r="B30" s="16" t="n">
        <v>13</v>
      </c>
      <c r="C30" s="17" t="inlineStr">
        <is>
          <t>Batch Engine</t>
        </is>
      </c>
      <c r="D30" s="17" t="inlineStr">
        <is>
          <t>BMC Control-M / OCP Cron</t>
        </is>
      </c>
      <c r="E30" s="18" t="inlineStr">
        <is>
          <t>Scheduled CronJob pada worker container OCP</t>
        </is>
      </c>
      <c r="F30" s="18" t="inlineStr">
        <is>
          <t>Dedicated VM Agent BMC Control-M (PVLMBC01 / RVLMBC01 4/8/100)</t>
        </is>
      </c>
      <c r="G30" s="18" t="inlineStr">
        <is>
          <t>Moderate: Native OCP CronJob. Critical: BMC Control-M Enterprise untuk otomasi settlement transaksi end-of-day.</t>
        </is>
      </c>
      <c r="H30" s="19" t="n"/>
      <c r="I30" s="19" t="n"/>
    </row>
  </sheetData>
  <mergeCells count="27">
    <mergeCell ref="G28:I28"/>
    <mergeCell ref="G6:I6"/>
    <mergeCell ref="G19:I19"/>
    <mergeCell ref="B16:I16"/>
    <mergeCell ref="B3:I3"/>
    <mergeCell ref="G18:I18"/>
    <mergeCell ref="G30:I30"/>
    <mergeCell ref="D6:E6"/>
    <mergeCell ref="G24:I24"/>
    <mergeCell ref="B11:I11"/>
    <mergeCell ref="B2:I2"/>
    <mergeCell ref="G20:I20"/>
    <mergeCell ref="G26:I26"/>
    <mergeCell ref="G29:I29"/>
    <mergeCell ref="G25:I25"/>
    <mergeCell ref="D7:E7"/>
    <mergeCell ref="G22:I22"/>
    <mergeCell ref="G9:I9"/>
    <mergeCell ref="G21:I21"/>
    <mergeCell ref="D9:E9"/>
    <mergeCell ref="D8:E8"/>
    <mergeCell ref="G27:I27"/>
    <mergeCell ref="G23:I23"/>
    <mergeCell ref="G8:I8"/>
    <mergeCell ref="G17:I17"/>
    <mergeCell ref="G7:I7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2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2" customWidth="1" min="3" max="3"/>
    <col width="26" customWidth="1" min="4" max="4"/>
    <col width="18" customWidth="1" min="5" max="5"/>
    <col width="22" customWidth="1" min="6" max="6"/>
    <col width="34" customWidth="1" min="7" max="7"/>
    <col width="18" customWidth="1" min="8" max="8"/>
    <col width="25" customWidth="1" min="9" max="9"/>
    <col width="36" customWidth="1" min="10" max="10"/>
    <col width="24" customWidth="1" min="11" max="11"/>
    <col width="32" customWidth="1" min="12" max="12"/>
    <col width="68" customWidth="1" min="13" max="13"/>
  </cols>
  <sheetData>
    <row r="1" ht="28" customHeight="1">
      <c r="B1" s="24" t="inlineStr">
        <is>
          <t>BASELINE TECHNOLOGY STACK &amp; SIZING PATTERN (BANK MANDIRI)</t>
        </is>
      </c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</row>
    <row r="2" ht="22" customHeight="1">
      <c r="B2" s="26" t="inlineStr">
        <is>
          <t>Standar Arsitektur: Tier Moderate (IHSP &amp; RMT) vs Tier Critical (Livin' Merchant)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</row>
    <row r="3" ht="28" customHeight="1">
      <c r="B3" s="15" t="inlineStr">
        <is>
          <t>No</t>
        </is>
      </c>
      <c r="C3" s="15" t="inlineStr">
        <is>
          <t>Layer Arsitektur</t>
        </is>
      </c>
      <c r="D3" s="15" t="inlineStr">
        <is>
          <t>Komponen / Software</t>
        </is>
      </c>
      <c r="E3" s="27" t="inlineStr">
        <is>
          <t>TIER MODERATE (IHSP &amp; RMT)</t>
        </is>
      </c>
      <c r="F3" s="28" t="n"/>
      <c r="G3" s="28" t="n"/>
      <c r="H3" s="29" t="inlineStr">
        <is>
          <t>TIER CRITICAL (LIVIN' MERCHANT)</t>
        </is>
      </c>
      <c r="I3" s="30" t="n"/>
      <c r="J3" s="30" t="n"/>
      <c r="K3" s="31" t="inlineStr">
        <is>
          <t>KATEGORI LISENSI</t>
        </is>
      </c>
      <c r="L3" s="32" t="n"/>
      <c r="M3" s="15" t="inlineStr">
        <is>
          <t>Catatan Arsitektur &amp; Justifikasi Sizing</t>
        </is>
      </c>
    </row>
    <row r="4" ht="44" customHeight="1">
      <c r="B4" s="33" t="n"/>
      <c r="C4" s="33" t="n"/>
      <c r="D4" s="33" t="n"/>
      <c r="E4" s="27" t="inlineStr">
        <is>
          <t>Node Alokasi</t>
        </is>
      </c>
      <c r="F4" s="27" t="inlineStr">
        <is>
          <t>Tipe Compute</t>
        </is>
      </c>
      <c r="G4" s="27" t="inlineStr">
        <is>
          <t>Spec per Node
(CPU/RAM/Disk)</t>
        </is>
      </c>
      <c r="H4" s="29" t="inlineStr">
        <is>
          <t>Node Alokasi</t>
        </is>
      </c>
      <c r="I4" s="29" t="inlineStr">
        <is>
          <t>Tipe Compute</t>
        </is>
      </c>
      <c r="J4" s="29" t="inlineStr">
        <is>
          <t>Spec per Node
(CPU/RAM/Disk)</t>
        </is>
      </c>
      <c r="K4" s="31" t="inlineStr">
        <is>
          <t>Free / Community</t>
        </is>
      </c>
      <c r="L4" s="31" t="inlineStr">
        <is>
          <t>Enterprise</t>
        </is>
      </c>
      <c r="M4" s="33" t="n"/>
    </row>
    <row r="5" ht="58" customHeight="1">
      <c r="B5" s="20" t="n">
        <v>1</v>
      </c>
      <c r="C5" s="21" t="inlineStr">
        <is>
          <t>Web Ingress</t>
        </is>
      </c>
      <c r="D5" s="21" t="inlineStr">
        <is>
          <t>NGINX Web Server</t>
        </is>
      </c>
      <c r="E5" s="20" t="inlineStr">
        <is>
          <t>2N (2 Nodes)</t>
        </is>
      </c>
      <c r="F5" s="20" t="inlineStr">
        <is>
          <t>Virtual Machine (VM)</t>
        </is>
      </c>
      <c r="G5" s="22" t="inlineStr">
        <is>
          <t>8 vCPU / 16GB RAM / 100-200GB Disk</t>
        </is>
      </c>
      <c r="H5" s="20" t="inlineStr">
        <is>
          <t>2N (2 Nodes)</t>
        </is>
      </c>
      <c r="I5" s="20" t="inlineStr">
        <is>
          <t>Virtual Machine (VM)</t>
        </is>
      </c>
      <c r="J5" s="22" t="inlineStr">
        <is>
          <t>8-16 vCPU / 16-32GB RAM / 100-200GB Disk</t>
        </is>
      </c>
      <c r="K5" s="34" t="inlineStr">
        <is>
          <t>NGINX Community (com)</t>
        </is>
      </c>
      <c r="L5" s="35" t="inlineStr">
        <is>
          <t>NGINX Plus (F5 Enterprise)</t>
        </is>
      </c>
      <c r="M5" s="22" t="inlineStr">
        <is>
          <t>Moderate: NGINX VM 8/16/100 (IHSP) / 8/16/200 (RMT). Critical: NGINX Plus VM 8-16 vCPU / 16-32 GB (Kontrak F5: TIF.DDL/GH.9076/2025).</t>
        </is>
      </c>
    </row>
    <row r="6" ht="58" customHeight="1">
      <c r="B6" s="16" t="n">
        <v>2</v>
      </c>
      <c r="C6" s="17" t="inlineStr">
        <is>
          <t>App Container</t>
        </is>
      </c>
      <c r="D6" s="17" t="inlineStr">
        <is>
          <t>Red Hat OCP Worker</t>
        </is>
      </c>
      <c r="E6" s="16" t="inlineStr">
        <is>
          <t>1W (1 Worker)</t>
        </is>
      </c>
      <c r="F6" s="16" t="inlineStr">
        <is>
          <t>Shared / VM Worker</t>
        </is>
      </c>
      <c r="G6" s="18" t="inlineStr">
        <is>
          <t>64 vCPU / 1024GB RAM / 300GB Disk</t>
        </is>
      </c>
      <c r="H6" s="16" t="inlineStr">
        <is>
          <t>2N (2 Nodes)</t>
        </is>
      </c>
      <c r="I6" s="16" t="inlineStr">
        <is>
          <t>Dedicated Baremetal Worker</t>
        </is>
      </c>
      <c r="J6" s="18" t="inlineStr">
        <is>
          <t>2x 64 vCPU / 1024GB RAM / 300GB Disk</t>
        </is>
      </c>
      <c r="K6" s="34" t="inlineStr">
        <is>
          <t>OKD (Non-Prod)</t>
        </is>
      </c>
      <c r="L6" s="35" t="inlineStr">
        <is>
          <t>RH OCP Platform Plus BM Premium</t>
        </is>
      </c>
      <c r="M6" s="18" t="inlineStr">
        <is>
          <t>Moderate: 1 OCP Worker VM (64/1024/300) per DC. Critical: 2 Dedicated Bare Metal Workers per DC (PPWRKR01/02 &amp; RPWRKR01/02, Kontrak Red Hat: TIF.DDL/GH.1993/2025).</t>
        </is>
      </c>
    </row>
    <row r="7" ht="58" customHeight="1">
      <c r="B7" s="20" t="n">
        <v>3</v>
      </c>
      <c r="C7" s="21" t="inlineStr">
        <is>
          <t>Container Router</t>
        </is>
      </c>
      <c r="D7" s="21" t="inlineStr">
        <is>
          <t>OCP Infra Router &amp; Bastion</t>
        </is>
      </c>
      <c r="E7" s="20" t="inlineStr">
        <is>
          <t>3 Infra + 1 Bastion</t>
        </is>
      </c>
      <c r="F7" s="20" t="inlineStr">
        <is>
          <t>VM Router / HA Proxy</t>
        </is>
      </c>
      <c r="G7" s="22" t="inlineStr">
        <is>
          <t>8 vCPU / 32GB RAM / 150GB Disk</t>
        </is>
      </c>
      <c r="H7" s="20" t="inlineStr">
        <is>
          <t>Dedicated Router Pods</t>
        </is>
      </c>
      <c r="I7" s="20" t="inlineStr">
        <is>
          <t>High-Throughput Router Pods</t>
        </is>
      </c>
      <c r="J7" s="22" t="inlineStr">
        <is>
          <t>8 vCPU / 32GB RAM / 150GB Disk</t>
        </is>
      </c>
      <c r="K7" s="34" t="inlineStr">
        <is>
          <t>Included in OCP</t>
        </is>
      </c>
      <c r="L7" s="35" t="inlineStr">
        <is>
          <t>Included in OCP Platform Plus</t>
        </is>
      </c>
      <c r="M7" s="22" t="inlineStr">
        <is>
          <t>Moderate: 3 Master (8/32/150) + 3 Infra Router (8/32/150) + 1 Bastion (4/8/100). Critical: Dedicated high-throughput router pods cross-DC.</t>
        </is>
      </c>
    </row>
    <row r="8" ht="58" customHeight="1">
      <c r="B8" s="16" t="n">
        <v>4</v>
      </c>
      <c r="C8" s="17" t="inlineStr">
        <is>
          <t>Core Database</t>
        </is>
      </c>
      <c r="D8" s="17" t="inlineStr">
        <is>
          <t>Database Engine (Oracle)</t>
        </is>
      </c>
      <c r="E8" s="16" t="inlineStr">
        <is>
          <t>Single Node, VM</t>
        </is>
      </c>
      <c r="F8" s="16" t="inlineStr">
        <is>
          <t>Virtual Machine (VM)</t>
        </is>
      </c>
      <c r="G8" s="18" t="inlineStr">
        <is>
          <t>16 vCPU / 32GB RAM / 1000GB Disk</t>
        </is>
      </c>
      <c r="H8" s="16" t="inlineStr">
        <is>
          <t>RAC, BM (Baremetal)</t>
        </is>
      </c>
      <c r="I8" s="16" t="inlineStr">
        <is>
          <t>Physical Baremetal + ASM</t>
        </is>
      </c>
      <c r="J8" s="18" t="inlineStr">
        <is>
          <t>2x 64 vCPU BM Server / 1024GB RAM</t>
        </is>
      </c>
      <c r="K8" s="34" t="inlineStr">
        <is>
          <t>PostgreSQL / MySQL Com</t>
        </is>
      </c>
      <c r="L8" s="35" t="inlineStr">
        <is>
          <t>Oracle DB Enterprise (RAC + ADG)</t>
        </is>
      </c>
      <c r="M8" s="18" t="inlineStr">
        <is>
          <t>Moderate: Single Node VM + Data Guard (16/32/1000) tanpa RAC Option untuk efisiensi lisensi core. Critical: Oracle RAC Bare Metal 2x64-Core (High TPS &amp; Zero Data Loss, Kontrak: TIF.DDL/SCD.3585/2025).</t>
        </is>
      </c>
    </row>
    <row r="9" ht="58" customHeight="1">
      <c r="B9" s="20" t="n">
        <v>5</v>
      </c>
      <c r="C9" s="21" t="inlineStr">
        <is>
          <t>Database Storage</t>
        </is>
      </c>
      <c r="D9" s="21" t="inlineStr">
        <is>
          <t>Oracle ASM Shared SAN</t>
        </is>
      </c>
      <c r="E9" s="20" t="inlineStr">
        <is>
          <t>SAN Virtual Disk LUN</t>
        </is>
      </c>
      <c r="F9" s="20" t="inlineStr">
        <is>
          <t>Storage SAN Tier 2</t>
        </is>
      </c>
      <c r="G9" s="22" t="inlineStr">
        <is>
          <t>1.000 GB - 1.500 GB SAN LUN</t>
        </is>
      </c>
      <c r="H9" s="20" t="inlineStr">
        <is>
          <t>Dedicated ASM SAN Cluster</t>
        </is>
      </c>
      <c r="I9" s="20" t="inlineStr">
        <is>
          <t>High-Perf SAN Tier 2</t>
        </is>
      </c>
      <c r="J9" s="22" t="inlineStr">
        <is>
          <t>5.500 GB (5.5 TB: Reco 500GB, Data 5TB)</t>
        </is>
      </c>
      <c r="K9" s="34" t="inlineStr">
        <is>
          <t>SAN LUN Tier 2</t>
        </is>
      </c>
      <c r="L9" s="35" t="inlineStr">
        <is>
          <t>SAN LUN + Oracle ASM</t>
        </is>
      </c>
      <c r="M9" s="22" t="inlineStr">
        <is>
          <t>Moderate: SAN Tier 2 Virtual LUN 1.0 - 1.5 TB. Critical: SAN Tier 2 ASM 5.5 TB (Reco 500GB, Data 5000GB) pada node bare metal.</t>
        </is>
      </c>
    </row>
    <row r="10" ht="58" customHeight="1">
      <c r="B10" s="16" t="n">
        <v>6</v>
      </c>
      <c r="C10" s="17" t="inlineStr">
        <is>
          <t>Distributed Cache</t>
        </is>
      </c>
      <c r="D10" s="17" t="inlineStr">
        <is>
          <t>Redis Caching Cluster</t>
        </is>
      </c>
      <c r="E10" s="16" t="inlineStr">
        <is>
          <t>1-3 Nodes</t>
        </is>
      </c>
      <c r="F10" s="16" t="inlineStr">
        <is>
          <t>Virtual Machine (VM)</t>
        </is>
      </c>
      <c r="G10" s="18" t="inlineStr">
        <is>
          <t>8 vCPU / 16GB RAM / 200GB Disk</t>
        </is>
      </c>
      <c r="H10" s="16" t="inlineStr">
        <is>
          <t>3 Nodes Multi-Shard</t>
        </is>
      </c>
      <c r="I10" s="16" t="inlineStr">
        <is>
          <t>Virtual Machine (VM)</t>
        </is>
      </c>
      <c r="J10" s="18" t="inlineStr">
        <is>
          <t>3x 8 vCPU / 32GB RAM / 200GB Disk</t>
        </is>
      </c>
      <c r="K10" s="34" t="inlineStr">
        <is>
          <t>Redis Community (com)</t>
        </is>
      </c>
      <c r="L10" s="35" t="inlineStr">
        <is>
          <t>Redis Enterprise Software</t>
        </is>
      </c>
      <c r="M10" s="18" t="inlineStr">
        <is>
          <t>Moderate: 1-3 VM Redis Community (8/16/200). Critical: 3 VM Redis Enterprise Multi-Shard (PVLMRD01-03 8/32/200, Kontrak: TIF.DDL/GH.9080/2024).</t>
        </is>
      </c>
    </row>
    <row r="11" ht="58" customHeight="1">
      <c r="B11" s="20" t="n">
        <v>7</v>
      </c>
      <c r="C11" s="21" t="inlineStr">
        <is>
          <t>Cache Sentinel</t>
        </is>
      </c>
      <c r="D11" s="21" t="inlineStr">
        <is>
          <t>Redis Sentinel Quorum</t>
        </is>
      </c>
      <c r="E11" s="20" t="inlineStr">
        <is>
          <t>Co-located / Sentinel</t>
        </is>
      </c>
      <c r="F11" s="20" t="inlineStr">
        <is>
          <t>Shared VM</t>
        </is>
      </c>
      <c r="G11" s="22" t="inlineStr">
        <is>
          <t>4 vCPU / 8GB RAM / 100GB Disk</t>
        </is>
      </c>
      <c r="H11" s="20" t="inlineStr">
        <is>
          <t>Dedicated Sentinel DC2</t>
        </is>
      </c>
      <c r="I11" s="20" t="inlineStr">
        <is>
          <t>Virtual Machine (VM)</t>
        </is>
      </c>
      <c r="J11" s="22" t="inlineStr">
        <is>
          <t>4-8 vCPU / 16GB RAM / 100GB Disk</t>
        </is>
      </c>
      <c r="K11" s="34" t="inlineStr">
        <is>
          <t>Redis Community (com)</t>
        </is>
      </c>
      <c r="L11" s="35" t="inlineStr">
        <is>
          <t>Redis Enterprise</t>
        </is>
      </c>
      <c r="M11" s="22" t="inlineStr">
        <is>
          <t>Moderate: Co-located sentinel. Critical: Dedicated sentinel cross-DC (Wisdan &amp; Rempoa) untuk quorum deteksi failover otomatis.</t>
        </is>
      </c>
    </row>
    <row r="12" ht="58" customHeight="1">
      <c r="B12" s="16" t="n">
        <v>8</v>
      </c>
      <c r="C12" s="17" t="inlineStr">
        <is>
          <t>Message Bus</t>
        </is>
      </c>
      <c r="D12" s="17" t="inlineStr">
        <is>
          <t>Confluent / Apache Kafka</t>
        </is>
      </c>
      <c r="E12" s="16" t="inlineStr">
        <is>
          <t>3 Nodes (Shared/VM)</t>
        </is>
      </c>
      <c r="F12" s="16" t="inlineStr">
        <is>
          <t>VM Broker Cluster</t>
        </is>
      </c>
      <c r="G12" s="18" t="inlineStr">
        <is>
          <t>16 vCPU / 64GB / 600GB (IHSP)</t>
        </is>
      </c>
      <c r="H12" s="16" t="inlineStr">
        <is>
          <t>Dedicated Cluster (7 Nodes)</t>
        </is>
      </c>
      <c r="I12" s="16" t="inlineStr">
        <is>
          <t>ZK + Broker + C3 Cluster</t>
        </is>
      </c>
      <c r="J12" s="18" t="inlineStr">
        <is>
          <t>3 ZK (4/32) + 3 Broker (16/32/1000) + 1 C3</t>
        </is>
      </c>
      <c r="K12" s="34" t="inlineStr">
        <is>
          <t>Apache / Confluent Com</t>
        </is>
      </c>
      <c r="L12" s="35" t="inlineStr">
        <is>
          <t>Confluent Kafka Enterprise</t>
        </is>
      </c>
      <c r="M12" s="18" t="inlineStr">
        <is>
          <t>Moderate: 3 VM Kafka Community (16/64/600 atau 8/16/1000). Critical: 7 Dedicated VM Confluent Kafka Enterprise (3 ZK + 3 Broker + 1 C3, Kontrak: TIF.DDL/GH.9075/2024).</t>
        </is>
      </c>
    </row>
    <row r="13" ht="58" customHeight="1">
      <c r="B13" s="20" t="n">
        <v>9</v>
      </c>
      <c r="C13" s="21" t="inlineStr">
        <is>
          <t>Log Analytics</t>
        </is>
      </c>
      <c r="D13" s="21" t="inlineStr">
        <is>
          <t>Elasticsearch Analytics Node</t>
        </is>
      </c>
      <c r="E13" s="20" t="inlineStr">
        <is>
          <t>Combined dgn Logstash</t>
        </is>
      </c>
      <c r="F13" s="20" t="inlineStr">
        <is>
          <t>Shared VM / Combined</t>
        </is>
      </c>
      <c r="G13" s="22" t="inlineStr">
        <is>
          <t>3 Nodes (8 vCPU / 32GB RAM / 500GB)</t>
        </is>
      </c>
      <c r="H13" s="20" t="inlineStr">
        <is>
          <t>Dedicated Cluster (8 Nodes)</t>
        </is>
      </c>
      <c r="I13" s="20" t="inlineStr">
        <is>
          <t>Master + Hot + Warm + Coord</t>
        </is>
      </c>
      <c r="J13" s="22" t="inlineStr">
        <is>
          <t>3 Master (8/32/50) + 2 Hot (16/32/1900) + Warm + Coord</t>
        </is>
      </c>
      <c r="K13" s="34" t="inlineStr">
        <is>
          <t>Elasticsearch / OpenSearch</t>
        </is>
      </c>
      <c r="L13" s="35" t="inlineStr">
        <is>
          <t>Elasticsearch Platinum</t>
        </is>
      </c>
      <c r="M13" s="22" t="inlineStr">
        <is>
          <t>Moderate: ELK combined (1 Logstash + 3 Master/Data 8/32/500). Critical: Dedicated 8 VM (3 Master 8/32/50, 2 Hot Data 16/32/1900, 1 Warm, 2 Coord, Kontrak: TIF.DDL/GH.9074/2024).</t>
        </is>
      </c>
    </row>
    <row r="14" ht="58" customHeight="1">
      <c r="B14" s="16" t="n">
        <v>10</v>
      </c>
      <c r="C14" s="17" t="inlineStr">
        <is>
          <t>Log Shipper</t>
        </is>
      </c>
      <c r="D14" s="17" t="inlineStr">
        <is>
          <t>Logstash Pipeline Shipper</t>
        </is>
      </c>
      <c r="E14" s="16" t="inlineStr">
        <is>
          <t>Combined / Co-located</t>
        </is>
      </c>
      <c r="F14" s="16" t="inlineStr">
        <is>
          <t>Shared VM</t>
        </is>
      </c>
      <c r="G14" s="18" t="inlineStr">
        <is>
          <t>1 Node (8 vCPU / 32GB RAM / 100GB)</t>
        </is>
      </c>
      <c r="H14" s="16" t="inlineStr">
        <is>
          <t>Dedicated Shipper Nodes</t>
        </is>
      </c>
      <c r="I14" s="16" t="inlineStr">
        <is>
          <t>Virtual Machine (VM)</t>
        </is>
      </c>
      <c r="J14" s="18" t="inlineStr">
        <is>
          <t>2 Nodes (8 vCPU / 32GB RAM / 100GB)</t>
        </is>
      </c>
      <c r="K14" s="34" t="inlineStr">
        <is>
          <t>Logstash Open Source</t>
        </is>
      </c>
      <c r="L14" s="35" t="inlineStr">
        <is>
          <t>Elastic Platinum</t>
        </is>
      </c>
      <c r="M14" s="18" t="inlineStr">
        <is>
          <t>Moderate: Combined pada node ELK. Critical: Dedicated 2 VM Logstash Shipper (PVLMEL01/02 8/32/100 di DC &amp; RVLMEL01/02 di DRC) terpisah dari data cluster demi kestabilan heap JVM.</t>
        </is>
      </c>
    </row>
    <row r="15" ht="58" customHeight="1">
      <c r="B15" s="20" t="n">
        <v>11</v>
      </c>
      <c r="C15" s="21" t="inlineStr">
        <is>
          <t>Log Dashboard</t>
        </is>
      </c>
      <c r="D15" s="21" t="inlineStr">
        <is>
          <t>Kibana Observability Portal</t>
        </is>
      </c>
      <c r="E15" s="20" t="inlineStr">
        <is>
          <t>Shared Portal</t>
        </is>
      </c>
      <c r="F15" s="20" t="inlineStr">
        <is>
          <t>Shared VM Portal</t>
        </is>
      </c>
      <c r="G15" s="22" t="inlineStr">
        <is>
          <t>Resource sharing on ELK</t>
        </is>
      </c>
      <c r="H15" s="20" t="inlineStr">
        <is>
          <t>Dedicated Portal Nodes</t>
        </is>
      </c>
      <c r="I15" s="20" t="inlineStr">
        <is>
          <t>Virtual Machine (VM)</t>
        </is>
      </c>
      <c r="J15" s="22" t="inlineStr">
        <is>
          <t>2 Nodes (4 vCPU / 32GB RAM / 50GB)</t>
        </is>
      </c>
      <c r="K15" s="34" t="inlineStr">
        <is>
          <t>Kibana Community (com)</t>
        </is>
      </c>
      <c r="L15" s="35" t="inlineStr">
        <is>
          <t>Elastic Platinum</t>
        </is>
      </c>
      <c r="M15" s="22" t="inlineStr">
        <is>
          <t>Moderate: Shared portal. Critical: Terintegrasi pada coordinator node PVLMEC01/02 (4/32/50 di DC &amp; RVLMEC01/02 di DRC).</t>
        </is>
      </c>
    </row>
    <row r="16" ht="58" customHeight="1">
      <c r="B16" s="16" t="n">
        <v>12</v>
      </c>
      <c r="C16" s="17" t="inlineStr">
        <is>
          <t>Document Storage</t>
        </is>
      </c>
      <c r="D16" s="17" t="inlineStr">
        <is>
          <t>SFTP / Object Storage / RDM</t>
        </is>
      </c>
      <c r="E16" s="16" t="inlineStr">
        <is>
          <t>SFTP Server VM</t>
        </is>
      </c>
      <c r="F16" s="16" t="inlineStr">
        <is>
          <t>Virtual Machine (VM)</t>
        </is>
      </c>
      <c r="G16" s="18" t="inlineStr">
        <is>
          <t>8 vCPU / 16GB RAM / 1.500GB Disk</t>
        </is>
      </c>
      <c r="H16" s="16" t="inlineStr">
        <is>
          <t>SAN RDM / Dell ECS S3</t>
        </is>
      </c>
      <c r="I16" s="16" t="inlineStr">
        <is>
          <t>Dedicated SAN LUN</t>
        </is>
      </c>
      <c r="J16" s="18" t="inlineStr">
        <is>
          <t>8 vCPU / 16GB RAM / 365GB Disk</t>
        </is>
      </c>
      <c r="K16" s="34" t="inlineStr">
        <is>
          <t>MinIO / OpenSFTP (com)</t>
        </is>
      </c>
      <c r="L16" s="35" t="inlineStr">
        <is>
          <t>Dell ECS / SAN Enterprise</t>
        </is>
      </c>
      <c r="M16" s="18" t="inlineStr">
        <is>
          <t>Moderate: VM SFTP Server (8/16/1500) untuk pertukaran file benefit MFT. Critical: Storage Gateway SAN RDM / Dell ECS S3 untuk arsip transaksi &amp; bukti settlement.</t>
        </is>
      </c>
    </row>
    <row r="17" ht="58" customHeight="1">
      <c r="B17" s="20" t="n">
        <v>13</v>
      </c>
      <c r="C17" s="21" t="inlineStr">
        <is>
          <t>Batch Engine</t>
        </is>
      </c>
      <c r="D17" s="21" t="inlineStr">
        <is>
          <t>BMC Control-M / OCP Cron</t>
        </is>
      </c>
      <c r="E17" s="20" t="inlineStr">
        <is>
          <t>Scheduled Cron on OCP</t>
        </is>
      </c>
      <c r="F17" s="20" t="inlineStr">
        <is>
          <t>Shared OCP Worker</t>
        </is>
      </c>
      <c r="G17" s="22" t="inlineStr">
        <is>
          <t>Resource sharing on OCP Pods</t>
        </is>
      </c>
      <c r="H17" s="20" t="inlineStr">
        <is>
          <t>Dedicated Batch Control-M</t>
        </is>
      </c>
      <c r="I17" s="20" t="inlineStr">
        <is>
          <t>Virtual Machine (VM)</t>
        </is>
      </c>
      <c r="J17" s="22" t="inlineStr">
        <is>
          <t>4 vCPU / 8GB RAM / 100GB Disk</t>
        </is>
      </c>
      <c r="K17" s="34" t="inlineStr">
        <is>
          <t>OCP Native Batch Cron</t>
        </is>
      </c>
      <c r="L17" s="35" t="inlineStr">
        <is>
          <t>BMC Control-M Enterprise</t>
        </is>
      </c>
      <c r="M17" s="22" t="inlineStr">
        <is>
          <t>Moderate: Scheduled CronJob pada worker container OCP. Critical: Dedicated VM Agent BMC Control-M (PVLMBC01 / RVLMBC01 4/8/100) untuk batch settlement end-of-day.</t>
        </is>
      </c>
    </row>
    <row r="19" ht="28" customHeight="1">
      <c r="B19" s="8" t="inlineStr">
        <is>
          <t>CATATAN ARSITEKTUR &amp; ACUAN RESMI EA FORUM</t>
        </is>
      </c>
    </row>
    <row r="20" ht="26" customHeight="1">
      <c r="B20" s="36" t="inlineStr">
        <is>
          <t>TIER MODERATE: IHSP (STM2601010) &amp; RMT (RM TOOLS SATU R1)</t>
        </is>
      </c>
      <c r="C20" s="37" t="n"/>
      <c r="D20" s="37" t="n"/>
      <c r="E20" s="37" t="n"/>
      <c r="F20" s="37" t="n"/>
      <c r="G20" s="37" t="n"/>
      <c r="H20" s="38" t="inlineStr">
        <is>
          <t>TIER CRITICAL: LIVIN' MERCHANT (DRB2502010 R6 SESI 2)</t>
        </is>
      </c>
      <c r="I20" s="39" t="n"/>
      <c r="J20" s="39" t="n"/>
      <c r="K20" s="39" t="n"/>
      <c r="L20" s="39" t="n"/>
      <c r="M20" s="39" t="n"/>
    </row>
    <row r="21" ht="72" customHeight="1">
      <c r="B21" s="40" t="inlineStr">
        <is>
          <t>IHSP (Integrated HC Suite Platform)</t>
        </is>
      </c>
      <c r="C21" s="5" t="n"/>
      <c r="D21" s="41" t="inlineStr">
        <is>
          <t>Acuan Dokumen: EA Forum C STM2601010 R1.1. Sizing per site: NGINX 8/16/100, OCP Master 8/32/150, Infra Router 8/32/150, 1 OCP Worker 64/1024/300, DB VM 16/32/1000, Kafka 16/64/600, SFTP 8/16/1500, ELK 8/32/500.</t>
        </is>
      </c>
      <c r="E21" s="5" t="n"/>
      <c r="F21" s="5" t="n"/>
      <c r="G21" s="5" t="n"/>
      <c r="H21" s="40" t="inlineStr">
        <is>
          <t>Livin' Merchant (Release 6 Sesi 2)</t>
        </is>
      </c>
      <c r="I21" s="5" t="n"/>
      <c r="J21" s="41" t="inlineStr">
        <is>
          <t>Acuan Dokumen: EA Forum B DRB2502010 R6 Sesi 2. Klasifikasi: Very Critical (Forum B) melayani transaksi merchant nasional 24/7 (SLA 99.99%). Wajib 2 Dedicated OCP Bare Metal Workers (64/1024/300) dan Oracle RAC Bare Metal 64-Core (ASM SAN 5.5 TB).</t>
        </is>
      </c>
      <c r="K21" s="5" t="n"/>
      <c r="L21" s="5" t="n"/>
      <c r="M21" s="5" t="n"/>
    </row>
    <row r="22" ht="72" customHeight="1">
      <c r="B22" s="40" t="inlineStr">
        <is>
          <t>RMT (RM Tools SATU R1) &amp; Pola Migrasi RAC</t>
        </is>
      </c>
      <c r="C22" s="5" t="n"/>
      <c r="D22" s="41" t="inlineStr">
        <is>
          <t>Acuan Dokumen: Capacity Plan RM Tools SATU R1 &amp; evaluasi migrasi database (20260824). NGINX 8/16/200, Redis 8/16/200, Kafka 8/16/1000. Database dialihkan dari RAC ke Single Node Data Guard (Wisdan Primary, Rempoa Standby) untuk optimasi lisensi core.</t>
        </is>
      </c>
      <c r="E22" s="5" t="n"/>
      <c r="F22" s="5" t="n"/>
      <c r="G22" s="5" t="n"/>
      <c r="H22" s="40" t="inlineStr">
        <is>
          <t>Pemisahan Node Logging (ELK &amp; Logstash)</t>
        </is>
      </c>
      <c r="I22" s="5" t="n"/>
      <c r="J22" s="41" t="inlineStr">
        <is>
          <t>Acuan Server List LM (Tabel 108): Elasticsearch dipisah menjadi Master (PVLMEM01-03 8/32/50), Hot Data (PVLMDH01-02 16/32/1900), Warm Data (PVLMDW01), Coordinator (PVLMEC01-02), dan Logstash Shipper (PVLMEL01-02 8/32/100) di server tersendiri demi stabilitas indexing.</t>
        </is>
      </c>
      <c r="K22" s="5" t="n"/>
      <c r="L22" s="5" t="n"/>
      <c r="M22" s="5" t="n"/>
    </row>
    <row r="23" ht="72" customHeight="1">
      <c r="B23" s="40" t="inlineStr">
        <is>
          <t>Ketentuan Arsitektur Tier Moderate</t>
        </is>
      </c>
      <c r="C23" s="5" t="n"/>
      <c r="D23" s="41" t="inlineStr">
        <is>
          <t>Kategori EA Forum: Forum C. Target SLA Ketersediaan: 99.5% - 99.9% (RTO &lt; 2 jam, RPO &lt; 15 menit). Seluruh server berbasis Virtual Machine (VM). Database Single Node Data Guard. Server logging (ELK &amp; Logstash) diperbolehkan shared/co-located.</t>
        </is>
      </c>
      <c r="E23" s="5" t="n"/>
      <c r="F23" s="5" t="n"/>
      <c r="G23" s="5" t="n"/>
      <c r="H23" s="40" t="inlineStr">
        <is>
          <t>Lisensi Resmi Enterprise di Livin' Merchant</t>
        </is>
      </c>
      <c r="I23" s="5" t="n"/>
      <c r="J23" s="41" t="inlineStr">
        <is>
          <t>NGINX Plus (TIF.DDL/GH.9076/2025), Red Hat OCP Platform Plus Bare Metal (TIF.DDL/GH.1993/2025), Oracle RAC Enterprise (TIF.DDL/SCD.3585/2025), Confluent Kafka (TIF.DDL/GH.9075/2024), Elasticsearch Platinum (TIF.DDL/GH.9074/2024), Redis Enterprise (TIF.DDL/GH.9080/2024).</t>
        </is>
      </c>
      <c r="K23" s="5" t="n"/>
      <c r="L23" s="5" t="n"/>
      <c r="M23" s="5" t="n"/>
    </row>
  </sheetData>
  <mergeCells count="24">
    <mergeCell ref="B2:M2"/>
    <mergeCell ref="J22:M22"/>
    <mergeCell ref="B3:B4"/>
    <mergeCell ref="B22:C22"/>
    <mergeCell ref="J21:M21"/>
    <mergeCell ref="B1:M1"/>
    <mergeCell ref="D23:G23"/>
    <mergeCell ref="J23:M23"/>
    <mergeCell ref="B21:C21"/>
    <mergeCell ref="H21:I21"/>
    <mergeCell ref="B19:M19"/>
    <mergeCell ref="M3:M4"/>
    <mergeCell ref="B23:C23"/>
    <mergeCell ref="D3:D4"/>
    <mergeCell ref="H3:J3"/>
    <mergeCell ref="D22:G22"/>
    <mergeCell ref="B20:G20"/>
    <mergeCell ref="D21:G21"/>
    <mergeCell ref="E3:G3"/>
    <mergeCell ref="H22:I22"/>
    <mergeCell ref="H20:M20"/>
    <mergeCell ref="C3:C4"/>
    <mergeCell ref="H23:I23"/>
    <mergeCell ref="K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9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6" customWidth="1" min="3" max="3"/>
    <col width="38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8" customWidth="1" min="14" max="14"/>
    <col width="18" customWidth="1" min="15" max="15"/>
    <col width="18" customWidth="1" min="16" max="16"/>
    <col width="20" customWidth="1" min="17" max="17"/>
    <col width="22" customWidth="1" min="18" max="18"/>
  </cols>
  <sheetData>
    <row r="1" ht="26" customHeight="1">
      <c r="B1" s="24" t="inlineStr">
        <is>
          <t>BILL OF QUANTITY (BOQ) &amp; SIZING - TIER MODERATE (IHSP &amp; RMT)</t>
        </is>
      </c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</row>
    <row r="2" ht="26" customHeight="1">
      <c r="B2" s="15" t="inlineStr">
        <is>
          <t>No</t>
        </is>
      </c>
      <c r="C2" s="15" t="inlineStr">
        <is>
          <t>Group</t>
        </is>
      </c>
      <c r="D2" s="15" t="inlineStr">
        <is>
          <t>Description</t>
        </is>
      </c>
      <c r="E2" s="15" t="inlineStr">
        <is>
          <t>Edition</t>
        </is>
      </c>
      <c r="F2" s="15" t="inlineStr">
        <is>
          <t>Environment</t>
        </is>
      </c>
      <c r="G2" s="15" t="inlineStr">
        <is>
          <t># of VM</t>
        </is>
      </c>
      <c r="H2" s="15" t="inlineStr">
        <is>
          <t>CPU</t>
        </is>
      </c>
      <c r="I2" s="15" t="inlineStr">
        <is>
          <t>Memory</t>
        </is>
      </c>
      <c r="J2" s="15" t="inlineStr">
        <is>
          <t>Storage</t>
        </is>
      </c>
      <c r="K2" s="15" t="inlineStr">
        <is>
          <t>Total CPU</t>
        </is>
      </c>
      <c r="L2" s="15" t="inlineStr">
        <is>
          <t>Total Memory</t>
        </is>
      </c>
      <c r="M2" s="15" t="inlineStr">
        <is>
          <t>Total Storage</t>
        </is>
      </c>
      <c r="N2" s="15" t="inlineStr">
        <is>
          <t>Pricing CPU</t>
        </is>
      </c>
      <c r="O2" s="15" t="inlineStr">
        <is>
          <t>Pricing Storage</t>
        </is>
      </c>
      <c r="P2" s="15" t="inlineStr">
        <is>
          <t>Pricing Backup (NBU)</t>
        </is>
      </c>
      <c r="Q2" s="15" t="inlineStr">
        <is>
          <t>Pricing Baremetal</t>
        </is>
      </c>
      <c r="R2" s="15" t="inlineStr">
        <is>
          <t>Total (IDR / Thn)</t>
        </is>
      </c>
    </row>
    <row r="3" ht="20" customHeight="1">
      <c r="B3" s="42" t="n">
        <v>1</v>
      </c>
      <c r="C3" s="43" t="inlineStr">
        <is>
          <t>Web Ingress (NGINX)</t>
        </is>
      </c>
      <c r="D3" s="43" t="inlineStr">
        <is>
          <t>NGINX Ingress Node 1 (8/16/100)</t>
        </is>
      </c>
      <c r="E3" s="42" t="inlineStr">
        <is>
          <t>Community</t>
        </is>
      </c>
      <c r="F3" s="42" t="inlineStr">
        <is>
          <t>DC1</t>
        </is>
      </c>
      <c r="G3" s="42" t="n">
        <v>1</v>
      </c>
      <c r="H3" s="42" t="n">
        <v>8</v>
      </c>
      <c r="I3" s="42" t="n">
        <v>16</v>
      </c>
      <c r="J3" s="42" t="n">
        <v>100</v>
      </c>
      <c r="K3" s="44">
        <f>G3*H3</f>
        <v/>
      </c>
      <c r="L3" s="44">
        <f>G3*I3</f>
        <v/>
      </c>
      <c r="M3" s="44">
        <f>G3*J3</f>
        <v/>
      </c>
      <c r="N3" s="45">
        <f>K3*Pricing!$D$3</f>
        <v/>
      </c>
      <c r="O3" s="45">
        <f>M3*Pricing!$D$5</f>
        <v/>
      </c>
      <c r="P3" s="45">
        <f>M3*0.5*0.8*Pricing!$D$8</f>
        <v/>
      </c>
      <c r="Q3" s="45" t="n">
        <v>0</v>
      </c>
      <c r="R3" s="45">
        <f>N3+O3+P3+Q3</f>
        <v/>
      </c>
    </row>
    <row r="4" ht="20" customHeight="1">
      <c r="B4" s="42" t="n">
        <v>2</v>
      </c>
      <c r="C4" s="43" t="inlineStr">
        <is>
          <t>Web Ingress (NGINX)</t>
        </is>
      </c>
      <c r="D4" s="43" t="inlineStr">
        <is>
          <t>NGINX Ingress Node 2 (8/16/100)</t>
        </is>
      </c>
      <c r="E4" s="42" t="inlineStr">
        <is>
          <t>Community</t>
        </is>
      </c>
      <c r="F4" s="42" t="inlineStr">
        <is>
          <t>DC1</t>
        </is>
      </c>
      <c r="G4" s="42" t="n">
        <v>1</v>
      </c>
      <c r="H4" s="42" t="n">
        <v>8</v>
      </c>
      <c r="I4" s="42" t="n">
        <v>16</v>
      </c>
      <c r="J4" s="42" t="n">
        <v>100</v>
      </c>
      <c r="K4" s="44">
        <f>G4*H4</f>
        <v/>
      </c>
      <c r="L4" s="44">
        <f>G4*I4</f>
        <v/>
      </c>
      <c r="M4" s="44">
        <f>G4*J4</f>
        <v/>
      </c>
      <c r="N4" s="45">
        <f>K4*Pricing!$D$3</f>
        <v/>
      </c>
      <c r="O4" s="45">
        <f>M4*Pricing!$D$5</f>
        <v/>
      </c>
      <c r="P4" s="45">
        <f>M4*0.5*0.8*Pricing!$D$8</f>
        <v/>
      </c>
      <c r="Q4" s="45" t="n">
        <v>0</v>
      </c>
      <c r="R4" s="45">
        <f>N4+O4+P4+Q4</f>
        <v/>
      </c>
    </row>
    <row r="5" ht="20" customHeight="1">
      <c r="B5" s="42" t="n">
        <v>3</v>
      </c>
      <c r="C5" s="43" t="inlineStr">
        <is>
          <t>App Platform (OCP)</t>
        </is>
      </c>
      <c r="D5" s="43" t="inlineStr">
        <is>
          <t>Red Hat OCP Worker 1W (64/1024/300)</t>
        </is>
      </c>
      <c r="E5" s="42" t="inlineStr">
        <is>
          <t>Enterprise</t>
        </is>
      </c>
      <c r="F5" s="42" t="inlineStr">
        <is>
          <t>DC1</t>
        </is>
      </c>
      <c r="G5" s="42" t="n">
        <v>1</v>
      </c>
      <c r="H5" s="42" t="n">
        <v>64</v>
      </c>
      <c r="I5" s="42" t="n">
        <v>1024</v>
      </c>
      <c r="J5" s="42" t="n">
        <v>300</v>
      </c>
      <c r="K5" s="44">
        <f>G5*H5</f>
        <v/>
      </c>
      <c r="L5" s="44">
        <f>G5*I5</f>
        <v/>
      </c>
      <c r="M5" s="44">
        <f>G5*J5</f>
        <v/>
      </c>
      <c r="N5" s="45">
        <f>K5*Pricing!$D$3</f>
        <v/>
      </c>
      <c r="O5" s="45">
        <f>M5*Pricing!$D$5</f>
        <v/>
      </c>
      <c r="P5" s="45">
        <f>M5*0.5*0.8*Pricing!$D$8</f>
        <v/>
      </c>
      <c r="Q5" s="45" t="n">
        <v>0</v>
      </c>
      <c r="R5" s="45">
        <f>N5+O5+P5+Q5</f>
        <v/>
      </c>
    </row>
    <row r="6" ht="20" customHeight="1">
      <c r="B6" s="42" t="n">
        <v>4</v>
      </c>
      <c r="C6" s="43" t="inlineStr">
        <is>
          <t>OCP Infra &amp; Master</t>
        </is>
      </c>
      <c r="D6" s="43" t="inlineStr">
        <is>
          <t>OCP Master &amp; Infra Router Quorum</t>
        </is>
      </c>
      <c r="E6" s="42" t="inlineStr">
        <is>
          <t>Enterprise</t>
        </is>
      </c>
      <c r="F6" s="42" t="inlineStr">
        <is>
          <t>DC1</t>
        </is>
      </c>
      <c r="G6" s="42" t="n">
        <v>1</v>
      </c>
      <c r="H6" s="42" t="n">
        <v>8</v>
      </c>
      <c r="I6" s="42" t="n">
        <v>32</v>
      </c>
      <c r="J6" s="42" t="n">
        <v>150</v>
      </c>
      <c r="K6" s="44">
        <f>G6*H6</f>
        <v/>
      </c>
      <c r="L6" s="44">
        <f>G6*I6</f>
        <v/>
      </c>
      <c r="M6" s="44">
        <f>G6*J6</f>
        <v/>
      </c>
      <c r="N6" s="45">
        <f>K6*Pricing!$D$3</f>
        <v/>
      </c>
      <c r="O6" s="45">
        <f>M6*Pricing!$D$5</f>
        <v/>
      </c>
      <c r="P6" s="45">
        <f>M6*0.5*0.8*Pricing!$D$8</f>
        <v/>
      </c>
      <c r="Q6" s="45" t="n">
        <v>0</v>
      </c>
      <c r="R6" s="45">
        <f>N6+O6+P6+Q6</f>
        <v/>
      </c>
    </row>
    <row r="7" ht="20" customHeight="1">
      <c r="B7" s="42" t="n">
        <v>5</v>
      </c>
      <c r="C7" s="43" t="inlineStr">
        <is>
          <t>Database (Oracle VM)</t>
        </is>
      </c>
      <c r="D7" s="43" t="inlineStr">
        <is>
          <t>Oracle DB Single Node VM Primary (16/32/1000)</t>
        </is>
      </c>
      <c r="E7" s="42" t="inlineStr">
        <is>
          <t>Enterprise</t>
        </is>
      </c>
      <c r="F7" s="42" t="inlineStr">
        <is>
          <t>DC1</t>
        </is>
      </c>
      <c r="G7" s="42" t="n">
        <v>1</v>
      </c>
      <c r="H7" s="42" t="n">
        <v>16</v>
      </c>
      <c r="I7" s="42" t="n">
        <v>32</v>
      </c>
      <c r="J7" s="42" t="n">
        <v>1000</v>
      </c>
      <c r="K7" s="44">
        <f>G7*H7</f>
        <v/>
      </c>
      <c r="L7" s="44">
        <f>G7*I7</f>
        <v/>
      </c>
      <c r="M7" s="44">
        <f>G7*J7</f>
        <v/>
      </c>
      <c r="N7" s="45">
        <f>K7*Pricing!$D$3</f>
        <v/>
      </c>
      <c r="O7" s="45">
        <f>M7*Pricing!$D$5</f>
        <v/>
      </c>
      <c r="P7" s="45">
        <f>M7*0.5*0.8*Pricing!$D$8</f>
        <v/>
      </c>
      <c r="Q7" s="45" t="n">
        <v>0</v>
      </c>
      <c r="R7" s="45">
        <f>N7+O7+P7+Q7</f>
        <v/>
      </c>
    </row>
    <row r="8" ht="20" customHeight="1">
      <c r="B8" s="42" t="n">
        <v>6</v>
      </c>
      <c r="C8" s="43" t="inlineStr">
        <is>
          <t>Message Bus (Kafka)</t>
        </is>
      </c>
      <c r="D8" s="43" t="inlineStr">
        <is>
          <t>Confluent Kafka Shared Broker (16/64/600)</t>
        </is>
      </c>
      <c r="E8" s="42" t="inlineStr">
        <is>
          <t>Community</t>
        </is>
      </c>
      <c r="F8" s="42" t="inlineStr">
        <is>
          <t>DC1</t>
        </is>
      </c>
      <c r="G8" s="42" t="n">
        <v>3</v>
      </c>
      <c r="H8" s="42" t="n">
        <v>16</v>
      </c>
      <c r="I8" s="42" t="n">
        <v>64</v>
      </c>
      <c r="J8" s="42" t="n">
        <v>600</v>
      </c>
      <c r="K8" s="44">
        <f>G8*H8</f>
        <v/>
      </c>
      <c r="L8" s="44">
        <f>G8*I8</f>
        <v/>
      </c>
      <c r="M8" s="44">
        <f>G8*J8</f>
        <v/>
      </c>
      <c r="N8" s="45">
        <f>K8*Pricing!$D$3</f>
        <v/>
      </c>
      <c r="O8" s="45">
        <f>M8*Pricing!$D$5</f>
        <v/>
      </c>
      <c r="P8" s="45">
        <f>M8*0.5*0.8*Pricing!$D$8</f>
        <v/>
      </c>
      <c r="Q8" s="45" t="n">
        <v>0</v>
      </c>
      <c r="R8" s="45">
        <f>N8+O8+P8+Q8</f>
        <v/>
      </c>
    </row>
    <row r="9" ht="20" customHeight="1">
      <c r="B9" s="42" t="n">
        <v>7</v>
      </c>
      <c r="C9" s="43" t="inlineStr">
        <is>
          <t>Caching (Redis)</t>
        </is>
      </c>
      <c r="D9" s="43" t="inlineStr">
        <is>
          <t>Redis Cache Standalone (8/16/200)</t>
        </is>
      </c>
      <c r="E9" s="42" t="inlineStr">
        <is>
          <t>Community</t>
        </is>
      </c>
      <c r="F9" s="42" t="inlineStr">
        <is>
          <t>DC1</t>
        </is>
      </c>
      <c r="G9" s="42" t="n">
        <v>1</v>
      </c>
      <c r="H9" s="42" t="n">
        <v>8</v>
      </c>
      <c r="I9" s="42" t="n">
        <v>16</v>
      </c>
      <c r="J9" s="42" t="n">
        <v>200</v>
      </c>
      <c r="K9" s="44">
        <f>G9*H9</f>
        <v/>
      </c>
      <c r="L9" s="44">
        <f>G9*I9</f>
        <v/>
      </c>
      <c r="M9" s="44">
        <f>G9*J9</f>
        <v/>
      </c>
      <c r="N9" s="45">
        <f>K9*Pricing!$D$3</f>
        <v/>
      </c>
      <c r="O9" s="45">
        <f>M9*Pricing!$D$5</f>
        <v/>
      </c>
      <c r="P9" s="45">
        <f>M9*0.5*0.8*Pricing!$D$8</f>
        <v/>
      </c>
      <c r="Q9" s="45" t="n">
        <v>0</v>
      </c>
      <c r="R9" s="45">
        <f>N9+O9+P9+Q9</f>
        <v/>
      </c>
    </row>
    <row r="10" ht="20" customHeight="1">
      <c r="B10" s="42" t="n">
        <v>8</v>
      </c>
      <c r="C10" s="43" t="inlineStr">
        <is>
          <t>Storage MFT (SFTP)</t>
        </is>
      </c>
      <c r="D10" s="43" t="inlineStr">
        <is>
          <t>SFTP Gateway Server (8/16/1500)</t>
        </is>
      </c>
      <c r="E10" s="42" t="inlineStr">
        <is>
          <t>Community</t>
        </is>
      </c>
      <c r="F10" s="42" t="inlineStr">
        <is>
          <t>DC1</t>
        </is>
      </c>
      <c r="G10" s="42" t="n">
        <v>1</v>
      </c>
      <c r="H10" s="42" t="n">
        <v>8</v>
      </c>
      <c r="I10" s="42" t="n">
        <v>16</v>
      </c>
      <c r="J10" s="42" t="n">
        <v>1500</v>
      </c>
      <c r="K10" s="44">
        <f>G10*H10</f>
        <v/>
      </c>
      <c r="L10" s="44">
        <f>G10*I10</f>
        <v/>
      </c>
      <c r="M10" s="44">
        <f>G10*J10</f>
        <v/>
      </c>
      <c r="N10" s="45">
        <f>K10*Pricing!$D$3</f>
        <v/>
      </c>
      <c r="O10" s="45">
        <f>M10*Pricing!$D$5</f>
        <v/>
      </c>
      <c r="P10" s="45">
        <f>M10*0.5*0.8*Pricing!$D$8</f>
        <v/>
      </c>
      <c r="Q10" s="45" t="n">
        <v>0</v>
      </c>
      <c r="R10" s="45">
        <f>N10+O10+P10+Q10</f>
        <v/>
      </c>
    </row>
    <row r="11" ht="20" customHeight="1">
      <c r="B11" s="42" t="n">
        <v>9</v>
      </c>
      <c r="C11" s="43" t="inlineStr">
        <is>
          <t>Log Shipper (Logstash)</t>
        </is>
      </c>
      <c r="D11" s="43" t="inlineStr">
        <is>
          <t>ELK Server - Logstash Shipper (8/32/100)</t>
        </is>
      </c>
      <c r="E11" s="42" t="inlineStr">
        <is>
          <t>Community</t>
        </is>
      </c>
      <c r="F11" s="42" t="inlineStr">
        <is>
          <t>DC1</t>
        </is>
      </c>
      <c r="G11" s="42" t="n">
        <v>1</v>
      </c>
      <c r="H11" s="42" t="n">
        <v>8</v>
      </c>
      <c r="I11" s="42" t="n">
        <v>32</v>
      </c>
      <c r="J11" s="42" t="n">
        <v>100</v>
      </c>
      <c r="K11" s="44">
        <f>G11*H11</f>
        <v/>
      </c>
      <c r="L11" s="44">
        <f>G11*I11</f>
        <v/>
      </c>
      <c r="M11" s="44">
        <f>G11*J11</f>
        <v/>
      </c>
      <c r="N11" s="45">
        <f>K11*Pricing!$D$3</f>
        <v/>
      </c>
      <c r="O11" s="45">
        <f>M11*Pricing!$D$5</f>
        <v/>
      </c>
      <c r="P11" s="45">
        <f>M11*0.5*0.8*Pricing!$D$8</f>
        <v/>
      </c>
      <c r="Q11" s="45" t="n">
        <v>0</v>
      </c>
      <c r="R11" s="45">
        <f>N11+O11+P11+Q11</f>
        <v/>
      </c>
    </row>
    <row r="12" ht="20" customHeight="1">
      <c r="B12" s="42" t="n">
        <v>10</v>
      </c>
      <c r="C12" s="43" t="inlineStr">
        <is>
          <t>Log Data (Elasticsearch)</t>
        </is>
      </c>
      <c r="D12" s="43" t="inlineStr">
        <is>
          <t>ELK Server - Master &amp; Data (8/32/500)</t>
        </is>
      </c>
      <c r="E12" s="42" t="inlineStr">
        <is>
          <t>Community</t>
        </is>
      </c>
      <c r="F12" s="42" t="inlineStr">
        <is>
          <t>DC1</t>
        </is>
      </c>
      <c r="G12" s="42" t="n">
        <v>3</v>
      </c>
      <c r="H12" s="42" t="n">
        <v>8</v>
      </c>
      <c r="I12" s="42" t="n">
        <v>32</v>
      </c>
      <c r="J12" s="42" t="n">
        <v>500</v>
      </c>
      <c r="K12" s="44">
        <f>G12*H12</f>
        <v/>
      </c>
      <c r="L12" s="44">
        <f>G12*I12</f>
        <v/>
      </c>
      <c r="M12" s="44">
        <f>G12*J12</f>
        <v/>
      </c>
      <c r="N12" s="45">
        <f>K12*Pricing!$D$3</f>
        <v/>
      </c>
      <c r="O12" s="45">
        <f>M12*Pricing!$D$5</f>
        <v/>
      </c>
      <c r="P12" s="45">
        <f>M12*0.5*0.8*Pricing!$D$8</f>
        <v/>
      </c>
      <c r="Q12" s="45" t="n">
        <v>0</v>
      </c>
      <c r="R12" s="45">
        <f>N12+O12+P12+Q12</f>
        <v/>
      </c>
    </row>
    <row r="13" ht="20" customHeight="1">
      <c r="B13" s="42" t="n">
        <v>11</v>
      </c>
      <c r="C13" s="43" t="inlineStr">
        <is>
          <t>Monitoring (Prometheus)</t>
        </is>
      </c>
      <c r="D13" s="43" t="inlineStr">
        <is>
          <t>Monitoring Server Grafana &amp; Prometheus (16/32/300)</t>
        </is>
      </c>
      <c r="E13" s="42" t="inlineStr">
        <is>
          <t>Community</t>
        </is>
      </c>
      <c r="F13" s="42" t="inlineStr">
        <is>
          <t>DC1</t>
        </is>
      </c>
      <c r="G13" s="42" t="n">
        <v>1</v>
      </c>
      <c r="H13" s="42" t="n">
        <v>16</v>
      </c>
      <c r="I13" s="42" t="n">
        <v>32</v>
      </c>
      <c r="J13" s="42" t="n">
        <v>300</v>
      </c>
      <c r="K13" s="44">
        <f>G13*H13</f>
        <v/>
      </c>
      <c r="L13" s="44">
        <f>G13*I13</f>
        <v/>
      </c>
      <c r="M13" s="44">
        <f>G13*J13</f>
        <v/>
      </c>
      <c r="N13" s="45">
        <f>K13*Pricing!$D$3</f>
        <v/>
      </c>
      <c r="O13" s="45">
        <f>M13*Pricing!$D$5</f>
        <v/>
      </c>
      <c r="P13" s="45">
        <f>M13*0.5*0.8*Pricing!$D$8</f>
        <v/>
      </c>
      <c r="Q13" s="45" t="n">
        <v>0</v>
      </c>
      <c r="R13" s="45">
        <f>N13+O13+P13+Q13</f>
        <v/>
      </c>
    </row>
    <row r="14" ht="10" customHeight="1"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</row>
    <row r="15" ht="20" customHeight="1">
      <c r="B15" s="42" t="n">
        <v>12</v>
      </c>
      <c r="C15" s="43" t="inlineStr">
        <is>
          <t>Web Ingress (NGINX)</t>
        </is>
      </c>
      <c r="D15" s="43" t="inlineStr">
        <is>
          <t>NGINX Ingress Node 1 DRC (8/16/100)</t>
        </is>
      </c>
      <c r="E15" s="42" t="inlineStr">
        <is>
          <t>Community</t>
        </is>
      </c>
      <c r="F15" s="42" t="inlineStr">
        <is>
          <t>DC2</t>
        </is>
      </c>
      <c r="G15" s="42" t="n">
        <v>1</v>
      </c>
      <c r="H15" s="42" t="n">
        <v>8</v>
      </c>
      <c r="I15" s="42" t="n">
        <v>16</v>
      </c>
      <c r="J15" s="42" t="n">
        <v>100</v>
      </c>
      <c r="K15" s="44">
        <f>G15*H15</f>
        <v/>
      </c>
      <c r="L15" s="44">
        <f>G15*I15</f>
        <v/>
      </c>
      <c r="M15" s="44">
        <f>G15*J15</f>
        <v/>
      </c>
      <c r="N15" s="45">
        <f>K15*Pricing!$D$3</f>
        <v/>
      </c>
      <c r="O15" s="45">
        <f>M15*Pricing!$D$5</f>
        <v/>
      </c>
      <c r="P15" s="45">
        <f>M15*0.5*0.8*Pricing!$D$8</f>
        <v/>
      </c>
      <c r="Q15" s="45" t="n">
        <v>0</v>
      </c>
      <c r="R15" s="45">
        <f>N15+O15+P15+Q15</f>
        <v/>
      </c>
    </row>
    <row r="16" ht="20" customHeight="1">
      <c r="B16" s="42" t="n">
        <v>13</v>
      </c>
      <c r="C16" s="43" t="inlineStr">
        <is>
          <t>Web Ingress (NGINX)</t>
        </is>
      </c>
      <c r="D16" s="43" t="inlineStr">
        <is>
          <t>NGINX Ingress Node 2 DRC (8/16/100)</t>
        </is>
      </c>
      <c r="E16" s="42" t="inlineStr">
        <is>
          <t>Community</t>
        </is>
      </c>
      <c r="F16" s="42" t="inlineStr">
        <is>
          <t>DC2</t>
        </is>
      </c>
      <c r="G16" s="42" t="n">
        <v>1</v>
      </c>
      <c r="H16" s="42" t="n">
        <v>8</v>
      </c>
      <c r="I16" s="42" t="n">
        <v>16</v>
      </c>
      <c r="J16" s="42" t="n">
        <v>100</v>
      </c>
      <c r="K16" s="44">
        <f>G16*H16</f>
        <v/>
      </c>
      <c r="L16" s="44">
        <f>G16*I16</f>
        <v/>
      </c>
      <c r="M16" s="44">
        <f>G16*J16</f>
        <v/>
      </c>
      <c r="N16" s="45">
        <f>K16*Pricing!$D$3</f>
        <v/>
      </c>
      <c r="O16" s="45">
        <f>M16*Pricing!$D$5</f>
        <v/>
      </c>
      <c r="P16" s="45">
        <f>M16*0.5*0.8*Pricing!$D$8</f>
        <v/>
      </c>
      <c r="Q16" s="45" t="n">
        <v>0</v>
      </c>
      <c r="R16" s="45">
        <f>N16+O16+P16+Q16</f>
        <v/>
      </c>
    </row>
    <row r="17" ht="20" customHeight="1">
      <c r="B17" s="42" t="n">
        <v>14</v>
      </c>
      <c r="C17" s="43" t="inlineStr">
        <is>
          <t>App Platform (OCP)</t>
        </is>
      </c>
      <c r="D17" s="43" t="inlineStr">
        <is>
          <t>Red Hat OCP Worker 1W DRC (64/1024/300)</t>
        </is>
      </c>
      <c r="E17" s="42" t="inlineStr">
        <is>
          <t>Enterprise</t>
        </is>
      </c>
      <c r="F17" s="42" t="inlineStr">
        <is>
          <t>DC2</t>
        </is>
      </c>
      <c r="G17" s="42" t="n">
        <v>1</v>
      </c>
      <c r="H17" s="42" t="n">
        <v>64</v>
      </c>
      <c r="I17" s="42" t="n">
        <v>1024</v>
      </c>
      <c r="J17" s="42" t="n">
        <v>300</v>
      </c>
      <c r="K17" s="44">
        <f>G17*H17</f>
        <v/>
      </c>
      <c r="L17" s="44">
        <f>G17*I17</f>
        <v/>
      </c>
      <c r="M17" s="44">
        <f>G17*J17</f>
        <v/>
      </c>
      <c r="N17" s="45">
        <f>K17*Pricing!$D$3</f>
        <v/>
      </c>
      <c r="O17" s="45">
        <f>M17*Pricing!$D$5</f>
        <v/>
      </c>
      <c r="P17" s="45">
        <f>M17*0.5*0.8*Pricing!$D$8</f>
        <v/>
      </c>
      <c r="Q17" s="45" t="n">
        <v>0</v>
      </c>
      <c r="R17" s="45">
        <f>N17+O17+P17+Q17</f>
        <v/>
      </c>
    </row>
    <row r="18" ht="20" customHeight="1">
      <c r="B18" s="42" t="n">
        <v>15</v>
      </c>
      <c r="C18" s="43" t="inlineStr">
        <is>
          <t>Database (Oracle VM)</t>
        </is>
      </c>
      <c r="D18" s="43" t="inlineStr">
        <is>
          <t>Oracle DB Single Node VM Standby (16/32/1000)</t>
        </is>
      </c>
      <c r="E18" s="42" t="inlineStr">
        <is>
          <t>Enterprise</t>
        </is>
      </c>
      <c r="F18" s="42" t="inlineStr">
        <is>
          <t>DC2</t>
        </is>
      </c>
      <c r="G18" s="42" t="n">
        <v>1</v>
      </c>
      <c r="H18" s="42" t="n">
        <v>16</v>
      </c>
      <c r="I18" s="42" t="n">
        <v>32</v>
      </c>
      <c r="J18" s="42" t="n">
        <v>1000</v>
      </c>
      <c r="K18" s="44">
        <f>G18*H18</f>
        <v/>
      </c>
      <c r="L18" s="44">
        <f>G18*I18</f>
        <v/>
      </c>
      <c r="M18" s="44">
        <f>G18*J18</f>
        <v/>
      </c>
      <c r="N18" s="45">
        <f>K18*Pricing!$D$3</f>
        <v/>
      </c>
      <c r="O18" s="45">
        <f>M18*Pricing!$D$5</f>
        <v/>
      </c>
      <c r="P18" s="45">
        <f>M18*0.5*0.8*Pricing!$D$8</f>
        <v/>
      </c>
      <c r="Q18" s="45" t="n">
        <v>0</v>
      </c>
      <c r="R18" s="45">
        <f>N18+O18+P18+Q18</f>
        <v/>
      </c>
    </row>
    <row r="19" ht="20" customHeight="1">
      <c r="B19" s="42" t="n">
        <v>16</v>
      </c>
      <c r="C19" s="43" t="inlineStr">
        <is>
          <t>Message Bus (Kafka)</t>
        </is>
      </c>
      <c r="D19" s="43" t="inlineStr">
        <is>
          <t>Confluent Kafka Standby Broker (16/64/600)</t>
        </is>
      </c>
      <c r="E19" s="42" t="inlineStr">
        <is>
          <t>Community</t>
        </is>
      </c>
      <c r="F19" s="42" t="inlineStr">
        <is>
          <t>DC2</t>
        </is>
      </c>
      <c r="G19" s="42" t="n">
        <v>3</v>
      </c>
      <c r="H19" s="42" t="n">
        <v>16</v>
      </c>
      <c r="I19" s="42" t="n">
        <v>64</v>
      </c>
      <c r="J19" s="42" t="n">
        <v>600</v>
      </c>
      <c r="K19" s="44">
        <f>G19*H19</f>
        <v/>
      </c>
      <c r="L19" s="44">
        <f>G19*I19</f>
        <v/>
      </c>
      <c r="M19" s="44">
        <f>G19*J19</f>
        <v/>
      </c>
      <c r="N19" s="45">
        <f>K19*Pricing!$D$3</f>
        <v/>
      </c>
      <c r="O19" s="45">
        <f>M19*Pricing!$D$5</f>
        <v/>
      </c>
      <c r="P19" s="45">
        <f>M19*0.5*0.8*Pricing!$D$8</f>
        <v/>
      </c>
      <c r="Q19" s="45" t="n">
        <v>0</v>
      </c>
      <c r="R19" s="45">
        <f>N19+O19+P19+Q19</f>
        <v/>
      </c>
    </row>
    <row r="20" ht="20" customHeight="1">
      <c r="B20" s="42" t="n">
        <v>17</v>
      </c>
      <c r="C20" s="43" t="inlineStr">
        <is>
          <t>Caching (Redis)</t>
        </is>
      </c>
      <c r="D20" s="43" t="inlineStr">
        <is>
          <t>Redis Cache Standby (8/16/200)</t>
        </is>
      </c>
      <c r="E20" s="42" t="inlineStr">
        <is>
          <t>Community</t>
        </is>
      </c>
      <c r="F20" s="42" t="inlineStr">
        <is>
          <t>DC2</t>
        </is>
      </c>
      <c r="G20" s="42" t="n">
        <v>1</v>
      </c>
      <c r="H20" s="42" t="n">
        <v>8</v>
      </c>
      <c r="I20" s="42" t="n">
        <v>16</v>
      </c>
      <c r="J20" s="42" t="n">
        <v>200</v>
      </c>
      <c r="K20" s="44">
        <f>G20*H20</f>
        <v/>
      </c>
      <c r="L20" s="44">
        <f>G20*I20</f>
        <v/>
      </c>
      <c r="M20" s="44">
        <f>G20*J20</f>
        <v/>
      </c>
      <c r="N20" s="45">
        <f>K20*Pricing!$D$3</f>
        <v/>
      </c>
      <c r="O20" s="45">
        <f>M20*Pricing!$D$5</f>
        <v/>
      </c>
      <c r="P20" s="45">
        <f>M20*0.5*0.8*Pricing!$D$8</f>
        <v/>
      </c>
      <c r="Q20" s="45" t="n">
        <v>0</v>
      </c>
      <c r="R20" s="45">
        <f>N20+O20+P20+Q20</f>
        <v/>
      </c>
    </row>
    <row r="21" ht="20" customHeight="1">
      <c r="B21" s="42" t="n">
        <v>18</v>
      </c>
      <c r="C21" s="43" t="inlineStr">
        <is>
          <t>Storage MFT (SFTP)</t>
        </is>
      </c>
      <c r="D21" s="43" t="inlineStr">
        <is>
          <t>SFTP Gateway Standby (8/16/1500)</t>
        </is>
      </c>
      <c r="E21" s="42" t="inlineStr">
        <is>
          <t>Community</t>
        </is>
      </c>
      <c r="F21" s="42" t="inlineStr">
        <is>
          <t>DC2</t>
        </is>
      </c>
      <c r="G21" s="42" t="n">
        <v>1</v>
      </c>
      <c r="H21" s="42" t="n">
        <v>8</v>
      </c>
      <c r="I21" s="42" t="n">
        <v>16</v>
      </c>
      <c r="J21" s="42" t="n">
        <v>1500</v>
      </c>
      <c r="K21" s="44">
        <f>G21*H21</f>
        <v/>
      </c>
      <c r="L21" s="44">
        <f>G21*I21</f>
        <v/>
      </c>
      <c r="M21" s="44">
        <f>G21*J21</f>
        <v/>
      </c>
      <c r="N21" s="45">
        <f>K21*Pricing!$D$3</f>
        <v/>
      </c>
      <c r="O21" s="45">
        <f>M21*Pricing!$D$5</f>
        <v/>
      </c>
      <c r="P21" s="45">
        <f>M21*0.5*0.8*Pricing!$D$8</f>
        <v/>
      </c>
      <c r="Q21" s="45" t="n">
        <v>0</v>
      </c>
      <c r="R21" s="45">
        <f>N21+O21+P21+Q21</f>
        <v/>
      </c>
    </row>
    <row r="22" ht="20" customHeight="1">
      <c r="B22" s="42" t="n">
        <v>19</v>
      </c>
      <c r="C22" s="43" t="inlineStr">
        <is>
          <t>Log Data (Elasticsearch)</t>
        </is>
      </c>
      <c r="D22" s="43" t="inlineStr">
        <is>
          <t>ELK Server Standby Replica (8/32/500)</t>
        </is>
      </c>
      <c r="E22" s="42" t="inlineStr">
        <is>
          <t>Community</t>
        </is>
      </c>
      <c r="F22" s="42" t="inlineStr">
        <is>
          <t>DC2</t>
        </is>
      </c>
      <c r="G22" s="42" t="n">
        <v>3</v>
      </c>
      <c r="H22" s="42" t="n">
        <v>8</v>
      </c>
      <c r="I22" s="42" t="n">
        <v>32</v>
      </c>
      <c r="J22" s="42" t="n">
        <v>500</v>
      </c>
      <c r="K22" s="44">
        <f>G22*H22</f>
        <v/>
      </c>
      <c r="L22" s="44">
        <f>G22*I22</f>
        <v/>
      </c>
      <c r="M22" s="44">
        <f>G22*J22</f>
        <v/>
      </c>
      <c r="N22" s="45">
        <f>K22*Pricing!$D$3</f>
        <v/>
      </c>
      <c r="O22" s="45">
        <f>M22*Pricing!$D$5</f>
        <v/>
      </c>
      <c r="P22" s="45">
        <f>M22*0.5*0.8*Pricing!$D$8</f>
        <v/>
      </c>
      <c r="Q22" s="45" t="n">
        <v>0</v>
      </c>
      <c r="R22" s="45">
        <f>N22+O22+P22+Q22</f>
        <v/>
      </c>
    </row>
    <row r="23" ht="10" customHeight="1"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</row>
    <row r="24" ht="20" customHeight="1">
      <c r="B24" s="48" t="n">
        <v>20</v>
      </c>
      <c r="C24" s="49" t="inlineStr">
        <is>
          <t>Web Ingress (NGINX PT)</t>
        </is>
      </c>
      <c r="D24" s="49" t="inlineStr">
        <is>
          <t>NGINX Ingress PT (8/16/100)</t>
        </is>
      </c>
      <c r="E24" s="48" t="inlineStr">
        <is>
          <t>Community</t>
        </is>
      </c>
      <c r="F24" s="48" t="inlineStr">
        <is>
          <t>DEV</t>
        </is>
      </c>
      <c r="G24" s="48" t="n">
        <v>2</v>
      </c>
      <c r="H24" s="48" t="n">
        <v>8</v>
      </c>
      <c r="I24" s="48" t="n">
        <v>16</v>
      </c>
      <c r="J24" s="48" t="n">
        <v>100</v>
      </c>
      <c r="K24" s="50">
        <f>G24*H24</f>
        <v/>
      </c>
      <c r="L24" s="50">
        <f>G24*I24</f>
        <v/>
      </c>
      <c r="M24" s="50">
        <f>G24*J24</f>
        <v/>
      </c>
      <c r="N24" s="51">
        <f>K24*Pricing!$D$4</f>
        <v/>
      </c>
      <c r="O24" s="51">
        <f>M24*Pricing!$D$7</f>
        <v/>
      </c>
      <c r="P24" s="51">
        <f>M24*0.5*0.8*Pricing!$D$8</f>
        <v/>
      </c>
      <c r="Q24" s="51" t="n">
        <v>0</v>
      </c>
      <c r="R24" s="51">
        <f>N24+O24+P24+Q24</f>
        <v/>
      </c>
    </row>
    <row r="25" ht="20" customHeight="1">
      <c r="B25" s="48" t="n">
        <v>21</v>
      </c>
      <c r="C25" s="49" t="inlineStr">
        <is>
          <t>App Platform (OCP PT)</t>
        </is>
      </c>
      <c r="D25" s="49" t="inlineStr">
        <is>
          <t>OCP Worker PT Pods (64/1024/300)</t>
        </is>
      </c>
      <c r="E25" s="48" t="inlineStr">
        <is>
          <t>Enterprise</t>
        </is>
      </c>
      <c r="F25" s="48" t="inlineStr">
        <is>
          <t>DEV</t>
        </is>
      </c>
      <c r="G25" s="48" t="n">
        <v>1</v>
      </c>
      <c r="H25" s="48" t="n">
        <v>64</v>
      </c>
      <c r="I25" s="48" t="n">
        <v>1024</v>
      </c>
      <c r="J25" s="48" t="n">
        <v>300</v>
      </c>
      <c r="K25" s="50">
        <f>G25*H25</f>
        <v/>
      </c>
      <c r="L25" s="50">
        <f>G25*I25</f>
        <v/>
      </c>
      <c r="M25" s="50">
        <f>G25*J25</f>
        <v/>
      </c>
      <c r="N25" s="51">
        <f>K25*Pricing!$D$4</f>
        <v/>
      </c>
      <c r="O25" s="51">
        <f>M25*Pricing!$D$7</f>
        <v/>
      </c>
      <c r="P25" s="51">
        <f>M25*0.5*0.8*Pricing!$D$8</f>
        <v/>
      </c>
      <c r="Q25" s="51" t="n">
        <v>0</v>
      </c>
      <c r="R25" s="51">
        <f>N25+O25+P25+Q25</f>
        <v/>
      </c>
    </row>
    <row r="26" ht="20" customHeight="1">
      <c r="B26" s="48" t="n">
        <v>22</v>
      </c>
      <c r="C26" s="49" t="inlineStr">
        <is>
          <t>Database (Oracle PT)</t>
        </is>
      </c>
      <c r="D26" s="49" t="inlineStr">
        <is>
          <t>Oracle DB PT Instance (16/32/1000)</t>
        </is>
      </c>
      <c r="E26" s="48" t="inlineStr">
        <is>
          <t>Enterprise</t>
        </is>
      </c>
      <c r="F26" s="48" t="inlineStr">
        <is>
          <t>DEV</t>
        </is>
      </c>
      <c r="G26" s="48" t="n">
        <v>1</v>
      </c>
      <c r="H26" s="48" t="n">
        <v>16</v>
      </c>
      <c r="I26" s="48" t="n">
        <v>32</v>
      </c>
      <c r="J26" s="48" t="n">
        <v>1000</v>
      </c>
      <c r="K26" s="50">
        <f>G26*H26</f>
        <v/>
      </c>
      <c r="L26" s="50">
        <f>G26*I26</f>
        <v/>
      </c>
      <c r="M26" s="50">
        <f>G26*J26</f>
        <v/>
      </c>
      <c r="N26" s="51">
        <f>K26*Pricing!$D$4</f>
        <v/>
      </c>
      <c r="O26" s="51">
        <f>M26*Pricing!$D$7</f>
        <v/>
      </c>
      <c r="P26" s="51">
        <f>M26*0.5*0.8*Pricing!$D$8</f>
        <v/>
      </c>
      <c r="Q26" s="51" t="n">
        <v>0</v>
      </c>
      <c r="R26" s="51">
        <f>N26+O26+P26+Q26</f>
        <v/>
      </c>
    </row>
    <row r="27" ht="20" customHeight="1">
      <c r="B27" s="48" t="n">
        <v>23</v>
      </c>
      <c r="C27" s="49" t="inlineStr">
        <is>
          <t>Message Bus (Kafka PT)</t>
        </is>
      </c>
      <c r="D27" s="49" t="inlineStr">
        <is>
          <t>Kafka Broker PT (16/64/600)</t>
        </is>
      </c>
      <c r="E27" s="48" t="inlineStr">
        <is>
          <t>Community</t>
        </is>
      </c>
      <c r="F27" s="48" t="inlineStr">
        <is>
          <t>DEV</t>
        </is>
      </c>
      <c r="G27" s="48" t="n">
        <v>3</v>
      </c>
      <c r="H27" s="48" t="n">
        <v>16</v>
      </c>
      <c r="I27" s="48" t="n">
        <v>64</v>
      </c>
      <c r="J27" s="48" t="n">
        <v>600</v>
      </c>
      <c r="K27" s="50">
        <f>G27*H27</f>
        <v/>
      </c>
      <c r="L27" s="50">
        <f>G27*I27</f>
        <v/>
      </c>
      <c r="M27" s="50">
        <f>G27*J27</f>
        <v/>
      </c>
      <c r="N27" s="51">
        <f>K27*Pricing!$D$4</f>
        <v/>
      </c>
      <c r="O27" s="51">
        <f>M27*Pricing!$D$7</f>
        <v/>
      </c>
      <c r="P27" s="51">
        <f>M27*0.5*0.8*Pricing!$D$8</f>
        <v/>
      </c>
      <c r="Q27" s="51" t="n">
        <v>0</v>
      </c>
      <c r="R27" s="51">
        <f>N27+O27+P27+Q27</f>
        <v/>
      </c>
    </row>
    <row r="28" ht="20" customHeight="1">
      <c r="B28" s="48" t="n">
        <v>24</v>
      </c>
      <c r="C28" s="49" t="inlineStr">
        <is>
          <t>Caching (Redis PT)</t>
        </is>
      </c>
      <c r="D28" s="49" t="inlineStr">
        <is>
          <t>Redis Cache PT (8/16/200)</t>
        </is>
      </c>
      <c r="E28" s="48" t="inlineStr">
        <is>
          <t>Community</t>
        </is>
      </c>
      <c r="F28" s="48" t="inlineStr">
        <is>
          <t>DEV</t>
        </is>
      </c>
      <c r="G28" s="48" t="n">
        <v>1</v>
      </c>
      <c r="H28" s="48" t="n">
        <v>8</v>
      </c>
      <c r="I28" s="48" t="n">
        <v>16</v>
      </c>
      <c r="J28" s="48" t="n">
        <v>200</v>
      </c>
      <c r="K28" s="50">
        <f>G28*H28</f>
        <v/>
      </c>
      <c r="L28" s="50">
        <f>G28*I28</f>
        <v/>
      </c>
      <c r="M28" s="50">
        <f>G28*J28</f>
        <v/>
      </c>
      <c r="N28" s="51">
        <f>K28*Pricing!$D$4</f>
        <v/>
      </c>
      <c r="O28" s="51">
        <f>M28*Pricing!$D$7</f>
        <v/>
      </c>
      <c r="P28" s="51">
        <f>M28*0.5*0.8*Pricing!$D$8</f>
        <v/>
      </c>
      <c r="Q28" s="51" t="n">
        <v>0</v>
      </c>
      <c r="R28" s="51">
        <f>N28+O28+P28+Q28</f>
        <v/>
      </c>
    </row>
    <row r="29" ht="20" customHeight="1">
      <c r="B29" s="48" t="n">
        <v>25</v>
      </c>
      <c r="C29" s="49" t="inlineStr">
        <is>
          <t>App Platform (OCP DEV)</t>
        </is>
      </c>
      <c r="D29" s="49" t="inlineStr">
        <is>
          <t>OCP Worker DEV Pods (64/1024/300)</t>
        </is>
      </c>
      <c r="E29" s="48" t="inlineStr">
        <is>
          <t>Enterprise</t>
        </is>
      </c>
      <c r="F29" s="48" t="inlineStr">
        <is>
          <t>DEV</t>
        </is>
      </c>
      <c r="G29" s="48" t="n">
        <v>1</v>
      </c>
      <c r="H29" s="48" t="n">
        <v>64</v>
      </c>
      <c r="I29" s="48" t="n">
        <v>1024</v>
      </c>
      <c r="J29" s="48" t="n">
        <v>300</v>
      </c>
      <c r="K29" s="50">
        <f>G29*H29</f>
        <v/>
      </c>
      <c r="L29" s="50">
        <f>G29*I29</f>
        <v/>
      </c>
      <c r="M29" s="50">
        <f>G29*J29</f>
        <v/>
      </c>
      <c r="N29" s="51">
        <f>K29*Pricing!$D$4</f>
        <v/>
      </c>
      <c r="O29" s="51">
        <f>M29*Pricing!$D$7</f>
        <v/>
      </c>
      <c r="P29" s="51">
        <f>M29*0.5*0.8*Pricing!$D$8</f>
        <v/>
      </c>
      <c r="Q29" s="51" t="n">
        <v>0</v>
      </c>
      <c r="R29" s="51">
        <f>N29+O29+P29+Q29</f>
        <v/>
      </c>
    </row>
    <row r="30" ht="24" customHeight="1">
      <c r="B30" s="52" t="inlineStr">
        <is>
          <t>TOTAL BIAYA INFRASTRUKTUR / TAHUN</t>
        </is>
      </c>
      <c r="C30" s="53" t="n"/>
      <c r="D30" s="53" t="n"/>
      <c r="E30" s="53" t="n"/>
      <c r="F30" s="53" t="n"/>
      <c r="G30" s="54">
        <f>SUM(G3:G29)</f>
        <v/>
      </c>
      <c r="H30" s="53" t="n"/>
      <c r="I30" s="53" t="n"/>
      <c r="J30" s="53" t="n"/>
      <c r="K30" s="54">
        <f>SUM(K3:K29)</f>
        <v/>
      </c>
      <c r="L30" s="54">
        <f>SUM(L3:L29)</f>
        <v/>
      </c>
      <c r="M30" s="54">
        <f>SUM(M3:M29)</f>
        <v/>
      </c>
      <c r="N30" s="55">
        <f>SUM(N3:N29)</f>
        <v/>
      </c>
      <c r="O30" s="55">
        <f>SUM(O3:O29)</f>
        <v/>
      </c>
      <c r="P30" s="55">
        <f>SUM(P3:P29)</f>
        <v/>
      </c>
      <c r="Q30" s="55">
        <f>SUM(Q3:Q29)</f>
        <v/>
      </c>
      <c r="R30" s="55">
        <f>SUM(R3:R29)</f>
        <v/>
      </c>
    </row>
    <row r="32" ht="24" customHeight="1">
      <c r="B32" s="56" t="inlineStr">
        <is>
          <t>Summary Hardware Prod</t>
        </is>
      </c>
      <c r="C32" s="57" t="n"/>
      <c r="D32" s="57" t="n"/>
      <c r="G32" s="56" t="inlineStr">
        <is>
          <t>Matriks Alokasi Resource Data Center</t>
        </is>
      </c>
      <c r="H32" s="57" t="n"/>
      <c r="I32" s="57" t="n"/>
      <c r="J32" s="57" t="n"/>
    </row>
    <row r="33" ht="24" customHeight="1">
      <c r="B33" s="15" t="inlineStr">
        <is>
          <t>No</t>
        </is>
      </c>
      <c r="C33" s="15" t="inlineStr">
        <is>
          <t>Item</t>
        </is>
      </c>
      <c r="D33" s="15" t="inlineStr">
        <is>
          <t>Price</t>
        </is>
      </c>
      <c r="G33" s="15" t="inlineStr">
        <is>
          <t>DC / Environment</t>
        </is>
      </c>
      <c r="H33" s="15" t="inlineStr">
        <is>
          <t>CPU (vCPU)</t>
        </is>
      </c>
      <c r="I33" s="15" t="inlineStr">
        <is>
          <t>RAM (GB)</t>
        </is>
      </c>
      <c r="J33" s="15" t="inlineStr">
        <is>
          <t>Storage (GB)</t>
        </is>
      </c>
    </row>
    <row r="34" ht="20" customHeight="1">
      <c r="B34" s="58" t="n">
        <v>1</v>
      </c>
      <c r="C34" s="59" t="inlineStr">
        <is>
          <t>Web Ingress (NGINX)</t>
        </is>
      </c>
      <c r="D34" s="60">
        <f>SUM(R3:R4)+SUM(R15:R16)</f>
        <v/>
      </c>
      <c r="G34" s="59" t="inlineStr">
        <is>
          <t>DC1 (Wisdan - Active)</t>
        </is>
      </c>
      <c r="H34" s="61">
        <f>SUM(K3:K13)</f>
        <v/>
      </c>
      <c r="I34" s="61">
        <f>SUM(L3:L13)</f>
        <v/>
      </c>
      <c r="J34" s="61">
        <f>SUM(M3:M13)</f>
        <v/>
      </c>
    </row>
    <row r="35" ht="20" customHeight="1">
      <c r="B35" s="58" t="n">
        <v>2</v>
      </c>
      <c r="C35" s="59" t="inlineStr">
        <is>
          <t>App Platform (OCP Worker &amp; Master)</t>
        </is>
      </c>
      <c r="D35" s="60">
        <f>SUM(R5:R6)+R17</f>
        <v/>
      </c>
      <c r="G35" s="59" t="inlineStr">
        <is>
          <t>DC2 (Rempoa - Standby)</t>
        </is>
      </c>
      <c r="H35" s="61">
        <f>SUM(K15:K22)</f>
        <v/>
      </c>
      <c r="I35" s="61">
        <f>SUM(L15:L22)</f>
        <v/>
      </c>
      <c r="J35" s="61">
        <f>SUM(M15:M22)</f>
        <v/>
      </c>
    </row>
    <row r="36" ht="20" customHeight="1">
      <c r="B36" s="58" t="n">
        <v>3</v>
      </c>
      <c r="C36" s="59" t="inlineStr">
        <is>
          <t>Core Database (Oracle VM Single Node)</t>
        </is>
      </c>
      <c r="D36" s="60">
        <f>R7+R18</f>
        <v/>
      </c>
      <c r="G36" s="59" t="inlineStr">
        <is>
          <t>PT (Performance Test)</t>
        </is>
      </c>
      <c r="H36" s="61">
        <f>SUM(K24:K28)</f>
        <v/>
      </c>
      <c r="I36" s="61">
        <f>SUM(L24:L28)</f>
        <v/>
      </c>
      <c r="J36" s="61">
        <f>SUM(M24:M28)</f>
        <v/>
      </c>
    </row>
    <row r="37" ht="20" customHeight="1">
      <c r="B37" s="58" t="n">
        <v>4</v>
      </c>
      <c r="C37" s="59" t="inlineStr">
        <is>
          <t>Message Bus (Kafka Cluster)</t>
        </is>
      </c>
      <c r="D37" s="60">
        <f>R8+R19</f>
        <v/>
      </c>
      <c r="G37" s="59" t="inlineStr">
        <is>
          <t>DEV &amp; UAT (Testing)</t>
        </is>
      </c>
      <c r="H37" s="61">
        <f>K29</f>
        <v/>
      </c>
      <c r="I37" s="61">
        <f>L29</f>
        <v/>
      </c>
      <c r="J37" s="61">
        <f>M29</f>
        <v/>
      </c>
    </row>
    <row r="38" ht="20" customHeight="1">
      <c r="B38" s="58" t="n">
        <v>5</v>
      </c>
      <c r="C38" s="59" t="inlineStr">
        <is>
          <t>Caching (Redis Standalone)</t>
        </is>
      </c>
      <c r="D38" s="60">
        <f>R9+R20</f>
        <v/>
      </c>
    </row>
    <row r="39" ht="20" customHeight="1">
      <c r="B39" s="58" t="n">
        <v>6</v>
      </c>
      <c r="C39" s="59" t="inlineStr">
        <is>
          <t>Storage MFT (SFTP Gateway)</t>
        </is>
      </c>
      <c r="D39" s="60">
        <f>R10+R21</f>
        <v/>
      </c>
    </row>
    <row r="40" ht="20" customHeight="1">
      <c r="B40" s="58" t="n">
        <v>7</v>
      </c>
      <c r="C40" s="59" t="inlineStr">
        <is>
          <t>Logging &amp; Shipper (ELK Cluster)</t>
        </is>
      </c>
      <c r="D40" s="60">
        <f>SUM(R11:R12)+R22</f>
        <v/>
      </c>
    </row>
    <row r="41" ht="20" customHeight="1">
      <c r="B41" s="58" t="n">
        <v>8</v>
      </c>
      <c r="C41" s="59" t="inlineStr">
        <is>
          <t>Monitoring Server (Grafana / Prometheus)</t>
        </is>
      </c>
      <c r="D41" s="60">
        <f>R13</f>
        <v/>
      </c>
    </row>
    <row r="42" ht="22" customHeight="1">
      <c r="B42" s="62" t="n"/>
      <c r="C42" s="63" t="inlineStr">
        <is>
          <t>Total</t>
        </is>
      </c>
      <c r="D42" s="64">
        <f>SUM(D34:D41)</f>
        <v/>
      </c>
    </row>
    <row r="44" ht="24" customHeight="1">
      <c r="B44" s="56" t="inlineStr">
        <is>
          <t>Summary Hardware PT</t>
        </is>
      </c>
      <c r="C44" s="57" t="n"/>
      <c r="D44" s="57" t="n"/>
    </row>
    <row r="45" ht="24" customHeight="1">
      <c r="B45" s="15" t="inlineStr">
        <is>
          <t>No</t>
        </is>
      </c>
      <c r="C45" s="15" t="inlineStr">
        <is>
          <t>Item</t>
        </is>
      </c>
      <c r="D45" s="15" t="inlineStr">
        <is>
          <t>Price</t>
        </is>
      </c>
    </row>
    <row r="46" ht="20" customHeight="1">
      <c r="B46" s="58" t="n">
        <v>1</v>
      </c>
      <c r="C46" s="59" t="inlineStr">
        <is>
          <t>Web Ingress (NGINX PT)</t>
        </is>
      </c>
      <c r="D46" s="60">
        <f>R24</f>
        <v/>
      </c>
    </row>
    <row r="47" ht="20" customHeight="1">
      <c r="B47" s="58" t="n">
        <v>2</v>
      </c>
      <c r="C47" s="59" t="inlineStr">
        <is>
          <t>App Platform (OCP PT)</t>
        </is>
      </c>
      <c r="D47" s="60">
        <f>R25</f>
        <v/>
      </c>
    </row>
    <row r="48" ht="20" customHeight="1">
      <c r="B48" s="58" t="n">
        <v>3</v>
      </c>
      <c r="C48" s="59" t="inlineStr">
        <is>
          <t>Database (Oracle PT)</t>
        </is>
      </c>
      <c r="D48" s="60">
        <f>R26</f>
        <v/>
      </c>
    </row>
    <row r="49" ht="20" customHeight="1">
      <c r="B49" s="58" t="n">
        <v>4</v>
      </c>
      <c r="C49" s="59" t="inlineStr">
        <is>
          <t>Message Bus (Kafka PT)</t>
        </is>
      </c>
      <c r="D49" s="60">
        <f>R27</f>
        <v/>
      </c>
    </row>
    <row r="50" ht="20" customHeight="1">
      <c r="B50" s="58" t="n">
        <v>5</v>
      </c>
      <c r="C50" s="59" t="inlineStr">
        <is>
          <t>Caching (Redis PT)</t>
        </is>
      </c>
      <c r="D50" s="60">
        <f>R28</f>
        <v/>
      </c>
    </row>
    <row r="51" ht="22" customHeight="1">
      <c r="B51" s="62" t="n"/>
      <c r="C51" s="63" t="inlineStr">
        <is>
          <t>Total</t>
        </is>
      </c>
      <c r="D51" s="64">
        <f>SUM(D46:D50)</f>
        <v/>
      </c>
    </row>
    <row r="53" ht="24" customHeight="1">
      <c r="B53" s="56" t="inlineStr">
        <is>
          <t>Summary Hardware DEV &amp; UAT</t>
        </is>
      </c>
      <c r="C53" s="57" t="n"/>
      <c r="D53" s="57" t="n"/>
    </row>
    <row r="54" ht="24" customHeight="1">
      <c r="B54" s="15" t="inlineStr">
        <is>
          <t>No</t>
        </is>
      </c>
      <c r="C54" s="15" t="inlineStr">
        <is>
          <t>Item</t>
        </is>
      </c>
      <c r="D54" s="15" t="inlineStr">
        <is>
          <t>Price</t>
        </is>
      </c>
    </row>
    <row r="55" ht="20" customHeight="1">
      <c r="B55" s="58" t="n">
        <v>1</v>
      </c>
      <c r="C55" s="59" t="inlineStr">
        <is>
          <t>App Platform (OCP DEV)</t>
        </is>
      </c>
      <c r="D55" s="60">
        <f>R29</f>
        <v/>
      </c>
    </row>
    <row r="56" ht="22" customHeight="1">
      <c r="B56" s="62" t="n"/>
      <c r="C56" s="63" t="inlineStr">
        <is>
          <t>Total</t>
        </is>
      </c>
      <c r="D56" s="64">
        <f>SUM(D55:D55)</f>
        <v/>
      </c>
    </row>
    <row r="58" ht="24" customHeight="1">
      <c r="B58" s="56" t="inlineStr">
        <is>
          <t>Summary License Prod</t>
        </is>
      </c>
      <c r="C58" s="57" t="n"/>
      <c r="D58" s="57" t="n"/>
      <c r="E58" s="57" t="n"/>
      <c r="F58" s="57" t="n"/>
      <c r="G58" s="57" t="n"/>
    </row>
    <row r="59" ht="24" customHeight="1">
      <c r="B59" s="15" t="inlineStr">
        <is>
          <t>No</t>
        </is>
      </c>
      <c r="C59" s="15" t="inlineStr">
        <is>
          <t>Item Software / Platform</t>
        </is>
      </c>
      <c r="D59" s="15" t="inlineStr">
        <is>
          <t>#of License</t>
        </is>
      </c>
      <c r="E59" s="15" t="inlineStr">
        <is>
          <t>Harga Satuan</t>
        </is>
      </c>
      <c r="F59" s="15" t="inlineStr">
        <is>
          <t>Total Harga</t>
        </is>
      </c>
      <c r="G59" s="15" t="inlineStr">
        <is>
          <t>Remarks</t>
        </is>
      </c>
    </row>
    <row r="60" ht="20" customHeight="1">
      <c r="B60" s="58" t="n">
        <v>1</v>
      </c>
      <c r="C60" s="59" t="inlineStr">
        <is>
          <t>Red Hat OpenShift (OCP) VM License DC1</t>
        </is>
      </c>
      <c r="D60" s="58" t="n">
        <v>1</v>
      </c>
      <c r="E60" s="60">
        <f>Pricing!$D$18</f>
        <v/>
      </c>
      <c r="F60" s="60">
        <f>D60*E60</f>
        <v/>
      </c>
      <c r="G60" s="59" t="inlineStr">
        <is>
          <t>Per VM Worker Node</t>
        </is>
      </c>
    </row>
    <row r="61" ht="20" customHeight="1">
      <c r="B61" s="58" t="n">
        <v>2</v>
      </c>
      <c r="C61" s="59" t="inlineStr">
        <is>
          <t>Red Hat OpenShift (OCP) VM License DC2</t>
        </is>
      </c>
      <c r="D61" s="58" t="n">
        <v>1</v>
      </c>
      <c r="E61" s="60">
        <f>Pricing!$D$18</f>
        <v/>
      </c>
      <c r="F61" s="60">
        <f>D61*E61</f>
        <v/>
      </c>
      <c r="G61" s="59" t="inlineStr">
        <is>
          <t>Per VM Worker Node</t>
        </is>
      </c>
    </row>
    <row r="62" ht="20" customHeight="1">
      <c r="B62" s="58" t="n">
        <v>3</v>
      </c>
      <c r="C62" s="59" t="inlineStr">
        <is>
          <t>Oracle Database EE (Bankwide ELA)</t>
        </is>
      </c>
      <c r="D62" s="58" t="n">
        <v>2</v>
      </c>
      <c r="E62" s="60" t="n">
        <v>0</v>
      </c>
      <c r="F62" s="60" t="n">
        <v>0</v>
      </c>
      <c r="G62" s="59" t="inlineStr">
        <is>
          <t>Covered by ELA Bank Mandiri</t>
        </is>
      </c>
    </row>
    <row r="63" ht="20" customHeight="1">
      <c r="B63" s="58" t="n">
        <v>4</v>
      </c>
      <c r="C63" s="59" t="inlineStr">
        <is>
          <t>Oracle Linux DB (OS Support)</t>
        </is>
      </c>
      <c r="D63" s="58" t="n">
        <v>2</v>
      </c>
      <c r="E63" s="60" t="n">
        <v>24000000</v>
      </c>
      <c r="F63" s="60">
        <f>D63*E63</f>
        <v/>
      </c>
      <c r="G63" s="59" t="inlineStr">
        <is>
          <t>Per Server / VM Support</t>
        </is>
      </c>
    </row>
    <row r="64" ht="20" customHeight="1">
      <c r="B64" s="58" t="n">
        <v>5</v>
      </c>
      <c r="C64" s="59" t="inlineStr">
        <is>
          <t>Secure Site Pro EV SSL</t>
        </is>
      </c>
      <c r="D64" s="58" t="n">
        <v>1</v>
      </c>
      <c r="E64" s="60" t="n">
        <v>25262182</v>
      </c>
      <c r="F64" s="60">
        <f>D64*E64</f>
        <v/>
      </c>
      <c r="G64" s="59" t="inlineStr">
        <is>
          <t>Domain SSL Certificate</t>
        </is>
      </c>
    </row>
    <row r="65" ht="22" customHeight="1">
      <c r="B65" s="62" t="n"/>
      <c r="C65" s="63" t="inlineStr">
        <is>
          <t>Total</t>
        </is>
      </c>
      <c r="D65" s="62" t="n"/>
      <c r="E65" s="62" t="n"/>
      <c r="F65" s="64">
        <f>SUM(F60:F64)</f>
        <v/>
      </c>
      <c r="G65" s="62" t="n"/>
    </row>
    <row r="67" ht="24" customHeight="1">
      <c r="B67" s="56" t="inlineStr">
        <is>
          <t>Summary License PT</t>
        </is>
      </c>
      <c r="C67" s="57" t="n"/>
      <c r="D67" s="57" t="n"/>
      <c r="E67" s="57" t="n"/>
      <c r="F67" s="57" t="n"/>
      <c r="G67" s="57" t="n"/>
    </row>
    <row r="68" ht="24" customHeight="1">
      <c r="B68" s="15" t="inlineStr">
        <is>
          <t>No</t>
        </is>
      </c>
      <c r="C68" s="15" t="inlineStr">
        <is>
          <t>Item Software / Platform</t>
        </is>
      </c>
      <c r="D68" s="15" t="inlineStr">
        <is>
          <t>#of License</t>
        </is>
      </c>
      <c r="E68" s="15" t="inlineStr">
        <is>
          <t>Harga Satuan</t>
        </is>
      </c>
      <c r="F68" s="15" t="inlineStr">
        <is>
          <t>Total Harga</t>
        </is>
      </c>
      <c r="G68" s="15" t="inlineStr">
        <is>
          <t>Remarks</t>
        </is>
      </c>
    </row>
    <row r="69" ht="20" customHeight="1">
      <c r="B69" s="58" t="n">
        <v>1</v>
      </c>
      <c r="C69" s="59" t="inlineStr">
        <is>
          <t>Red Hat OpenShift (OCP) VM License PreProd</t>
        </is>
      </c>
      <c r="D69" s="58" t="n">
        <v>1</v>
      </c>
      <c r="E69" s="60">
        <f>Pricing!$D$19</f>
        <v/>
      </c>
      <c r="F69" s="60">
        <f>D69*E69</f>
        <v/>
      </c>
      <c r="G69" s="59" t="inlineStr">
        <is>
          <t>PreProd / PT Worker Node</t>
        </is>
      </c>
    </row>
    <row r="70" ht="20" customHeight="1">
      <c r="B70" s="58" t="n">
        <v>2</v>
      </c>
      <c r="C70" s="59" t="inlineStr">
        <is>
          <t>Oracle Database EE (Bankwide ELA)</t>
        </is>
      </c>
      <c r="D70" s="58" t="n">
        <v>1</v>
      </c>
      <c r="E70" s="60" t="n">
        <v>0</v>
      </c>
      <c r="F70" s="60" t="n">
        <v>0</v>
      </c>
      <c r="G70" s="59" t="inlineStr">
        <is>
          <t>Covered by ELA Bank Mandiri</t>
        </is>
      </c>
    </row>
    <row r="71" ht="22" customHeight="1">
      <c r="B71" s="62" t="n"/>
      <c r="C71" s="63" t="inlineStr">
        <is>
          <t>Total</t>
        </is>
      </c>
      <c r="D71" s="62" t="n"/>
      <c r="E71" s="62" t="n"/>
      <c r="F71" s="64">
        <f>SUM(F69:F70)</f>
        <v/>
      </c>
      <c r="G71" s="62" t="n"/>
    </row>
    <row r="73" ht="24" customHeight="1">
      <c r="B73" s="56" t="inlineStr">
        <is>
          <t>Summary License DEV &amp; UAT</t>
        </is>
      </c>
      <c r="C73" s="57" t="n"/>
      <c r="D73" s="57" t="n"/>
      <c r="E73" s="57" t="n"/>
      <c r="F73" s="57" t="n"/>
      <c r="G73" s="57" t="n"/>
    </row>
    <row r="74" ht="24" customHeight="1">
      <c r="B74" s="15" t="inlineStr">
        <is>
          <t>No</t>
        </is>
      </c>
      <c r="C74" s="15" t="inlineStr">
        <is>
          <t>Item Software / Platform</t>
        </is>
      </c>
      <c r="D74" s="15" t="inlineStr">
        <is>
          <t>#of License</t>
        </is>
      </c>
      <c r="E74" s="15" t="inlineStr">
        <is>
          <t>Harga Satuan</t>
        </is>
      </c>
      <c r="F74" s="15" t="inlineStr">
        <is>
          <t>Total Harga</t>
        </is>
      </c>
      <c r="G74" s="15" t="inlineStr">
        <is>
          <t>Remarks</t>
        </is>
      </c>
    </row>
    <row r="75" ht="20" customHeight="1">
      <c r="B75" s="58" t="n">
        <v>1</v>
      </c>
      <c r="C75" s="59" t="inlineStr">
        <is>
          <t>Red Hat OpenShift (OCP) VM License NPD</t>
        </is>
      </c>
      <c r="D75" s="58" t="n">
        <v>1</v>
      </c>
      <c r="E75" s="60">
        <f>Pricing!$D$19</f>
        <v/>
      </c>
      <c r="F75" s="60">
        <f>D75*E75</f>
        <v/>
      </c>
      <c r="G75" s="59" t="inlineStr">
        <is>
          <t>Non-Prod Worker Node</t>
        </is>
      </c>
    </row>
    <row r="76" ht="22" customHeight="1">
      <c r="B76" s="62" t="n"/>
      <c r="C76" s="63" t="inlineStr">
        <is>
          <t>Total</t>
        </is>
      </c>
      <c r="D76" s="62" t="n"/>
      <c r="E76" s="62" t="n"/>
      <c r="F76" s="64">
        <f>SUM(F75:F75)</f>
        <v/>
      </c>
      <c r="G76" s="62" t="n"/>
    </row>
    <row r="78" ht="24" customHeight="1">
      <c r="B78" s="56" t="inlineStr">
        <is>
          <t>Total Price Prod (Hardware + License)</t>
        </is>
      </c>
      <c r="C78" s="57" t="n"/>
      <c r="D78" s="57" t="n"/>
    </row>
    <row r="79" ht="24" customHeight="1">
      <c r="B79" s="15" t="inlineStr">
        <is>
          <t>No</t>
        </is>
      </c>
      <c r="C79" s="15" t="inlineStr">
        <is>
          <t>Komponen Biaya</t>
        </is>
      </c>
      <c r="D79" s="15" t="inlineStr">
        <is>
          <t>Total Harga</t>
        </is>
      </c>
    </row>
    <row r="80" ht="20" customHeight="1">
      <c r="B80" s="58" t="n">
        <v>1</v>
      </c>
      <c r="C80" s="59" t="inlineStr">
        <is>
          <t>Hardware Compute &amp; Storage</t>
        </is>
      </c>
      <c r="D80" s="60">
        <f>D42</f>
        <v/>
      </c>
    </row>
    <row r="81" ht="20" customHeight="1">
      <c r="B81" s="58" t="n">
        <v>2</v>
      </c>
      <c r="C81" s="59" t="inlineStr">
        <is>
          <t>Software License &amp; OS</t>
        </is>
      </c>
      <c r="D81" s="60">
        <f>F65</f>
        <v/>
      </c>
    </row>
    <row r="82" ht="22" customHeight="1">
      <c r="B82" s="62" t="n"/>
      <c r="C82" s="63" t="inlineStr">
        <is>
          <t>Total</t>
        </is>
      </c>
      <c r="D82" s="64">
        <f>SUM(D80:D81)</f>
        <v/>
      </c>
    </row>
    <row r="84" ht="24" customHeight="1">
      <c r="B84" s="56" t="inlineStr">
        <is>
          <t>Total Price PT (Hardware + License)</t>
        </is>
      </c>
      <c r="C84" s="57" t="n"/>
      <c r="D84" s="57" t="n"/>
    </row>
    <row r="85" ht="24" customHeight="1">
      <c r="B85" s="15" t="inlineStr">
        <is>
          <t>No</t>
        </is>
      </c>
      <c r="C85" s="15" t="inlineStr">
        <is>
          <t>Komponen Biaya</t>
        </is>
      </c>
      <c r="D85" s="15" t="inlineStr">
        <is>
          <t>Total Harga</t>
        </is>
      </c>
    </row>
    <row r="86" ht="20" customHeight="1">
      <c r="B86" s="58" t="n">
        <v>1</v>
      </c>
      <c r="C86" s="59" t="inlineStr">
        <is>
          <t>Hardware Compute &amp; Storage</t>
        </is>
      </c>
      <c r="D86" s="60">
        <f>D51</f>
        <v/>
      </c>
    </row>
    <row r="87" ht="20" customHeight="1">
      <c r="B87" s="58" t="n">
        <v>2</v>
      </c>
      <c r="C87" s="59" t="inlineStr">
        <is>
          <t>Software License &amp; OS</t>
        </is>
      </c>
      <c r="D87" s="60">
        <f>F71</f>
        <v/>
      </c>
    </row>
    <row r="88" ht="22" customHeight="1">
      <c r="B88" s="62" t="n"/>
      <c r="C88" s="63" t="inlineStr">
        <is>
          <t>Total</t>
        </is>
      </c>
      <c r="D88" s="64">
        <f>SUM(D86:D87)</f>
        <v/>
      </c>
    </row>
    <row r="90" ht="24" customHeight="1">
      <c r="B90" s="56" t="inlineStr">
        <is>
          <t>Total Price DEV &amp; UAT (Hardware + License)</t>
        </is>
      </c>
      <c r="C90" s="57" t="n"/>
      <c r="D90" s="57" t="n"/>
    </row>
    <row r="91" ht="24" customHeight="1">
      <c r="B91" s="15" t="inlineStr">
        <is>
          <t>No</t>
        </is>
      </c>
      <c r="C91" s="15" t="inlineStr">
        <is>
          <t>Komponen Biaya</t>
        </is>
      </c>
      <c r="D91" s="15" t="inlineStr">
        <is>
          <t>Total Harga</t>
        </is>
      </c>
    </row>
    <row r="92" ht="20" customHeight="1">
      <c r="B92" s="58" t="n">
        <v>1</v>
      </c>
      <c r="C92" s="59" t="inlineStr">
        <is>
          <t>Hardware Compute &amp; Storage</t>
        </is>
      </c>
      <c r="D92" s="60">
        <f>D56</f>
        <v/>
      </c>
    </row>
    <row r="93" ht="20" customHeight="1">
      <c r="B93" s="58" t="n">
        <v>2</v>
      </c>
      <c r="C93" s="59" t="inlineStr">
        <is>
          <t>Software License &amp; OS</t>
        </is>
      </c>
      <c r="D93" s="60">
        <f>F76</f>
        <v/>
      </c>
    </row>
    <row r="94" ht="22" customHeight="1">
      <c r="B94" s="62" t="n"/>
      <c r="C94" s="63" t="inlineStr">
        <is>
          <t>Total</t>
        </is>
      </c>
      <c r="D94" s="64">
        <f>SUM(D92:D93)</f>
        <v/>
      </c>
    </row>
    <row r="96" ht="24" customHeight="1">
      <c r="B96" s="65" t="inlineStr">
        <is>
          <t>GRAND TOTAL TCO (PROD + PT + DEV &amp; UAT)</t>
        </is>
      </c>
      <c r="C96" s="66" t="n"/>
      <c r="D96" s="67">
        <f>D82+D88+D94</f>
        <v/>
      </c>
    </row>
  </sheetData>
  <mergeCells count="13">
    <mergeCell ref="B30:F30"/>
    <mergeCell ref="B90:D90"/>
    <mergeCell ref="B67:G67"/>
    <mergeCell ref="B32:D32"/>
    <mergeCell ref="B84:D84"/>
    <mergeCell ref="B96:C96"/>
    <mergeCell ref="B44:D44"/>
    <mergeCell ref="B53:D53"/>
    <mergeCell ref="B58:G58"/>
    <mergeCell ref="B73:G73"/>
    <mergeCell ref="B78:D78"/>
    <mergeCell ref="G32:J32"/>
    <mergeCell ref="B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1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6" customWidth="1" min="3" max="3"/>
    <col width="38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8" customWidth="1" min="14" max="14"/>
    <col width="18" customWidth="1" min="15" max="15"/>
    <col width="18" customWidth="1" min="16" max="16"/>
    <col width="20" customWidth="1" min="17" max="17"/>
    <col width="22" customWidth="1" min="18" max="18"/>
  </cols>
  <sheetData>
    <row r="1" ht="26" customHeight="1">
      <c r="B1" s="68" t="inlineStr">
        <is>
          <t>BILL OF QUANTITY (BOQ) &amp; SIZING - TIER CRITICAL (LIVIN' MERCHANT)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</row>
    <row r="2" ht="26" customHeight="1">
      <c r="B2" s="15" t="inlineStr">
        <is>
          <t>No</t>
        </is>
      </c>
      <c r="C2" s="15" t="inlineStr">
        <is>
          <t>Group</t>
        </is>
      </c>
      <c r="D2" s="15" t="inlineStr">
        <is>
          <t>Description</t>
        </is>
      </c>
      <c r="E2" s="15" t="inlineStr">
        <is>
          <t>Edition</t>
        </is>
      </c>
      <c r="F2" s="15" t="inlineStr">
        <is>
          <t>Environment</t>
        </is>
      </c>
      <c r="G2" s="15" t="inlineStr">
        <is>
          <t># of VM</t>
        </is>
      </c>
      <c r="H2" s="15" t="inlineStr">
        <is>
          <t>CPU</t>
        </is>
      </c>
      <c r="I2" s="15" t="inlineStr">
        <is>
          <t>Memory</t>
        </is>
      </c>
      <c r="J2" s="15" t="inlineStr">
        <is>
          <t>Storage</t>
        </is>
      </c>
      <c r="K2" s="15" t="inlineStr">
        <is>
          <t>Total CPU</t>
        </is>
      </c>
      <c r="L2" s="15" t="inlineStr">
        <is>
          <t>Total Memory</t>
        </is>
      </c>
      <c r="M2" s="15" t="inlineStr">
        <is>
          <t>Total Storage</t>
        </is>
      </c>
      <c r="N2" s="15" t="inlineStr">
        <is>
          <t>Pricing CPU</t>
        </is>
      </c>
      <c r="O2" s="15" t="inlineStr">
        <is>
          <t>Pricing Storage</t>
        </is>
      </c>
      <c r="P2" s="15" t="inlineStr">
        <is>
          <t>Pricing Backup (NBU)</t>
        </is>
      </c>
      <c r="Q2" s="15" t="inlineStr">
        <is>
          <t>Pricing Baremetal</t>
        </is>
      </c>
      <c r="R2" s="15" t="inlineStr">
        <is>
          <t>Total (IDR / Thn)</t>
        </is>
      </c>
    </row>
    <row r="3" ht="20" customHeight="1">
      <c r="B3" s="42" t="n">
        <v>1</v>
      </c>
      <c r="C3" s="43" t="inlineStr">
        <is>
          <t>Web Ingress (Nginx Plus)</t>
        </is>
      </c>
      <c r="D3" s="43" t="inlineStr">
        <is>
          <t>PVLMNG01ABD24LP - Nginx Plus Gateway</t>
        </is>
      </c>
      <c r="E3" s="42" t="inlineStr">
        <is>
          <t>Enterprise</t>
        </is>
      </c>
      <c r="F3" s="42" t="inlineStr">
        <is>
          <t>DC1</t>
        </is>
      </c>
      <c r="G3" s="42" t="n">
        <v>1</v>
      </c>
      <c r="H3" s="42" t="n">
        <v>8</v>
      </c>
      <c r="I3" s="42" t="n">
        <v>16</v>
      </c>
      <c r="J3" s="42" t="n">
        <v>100</v>
      </c>
      <c r="K3" s="44">
        <f>G3*H3</f>
        <v/>
      </c>
      <c r="L3" s="44">
        <f>G3*I3</f>
        <v/>
      </c>
      <c r="M3" s="44">
        <f>G3*J3</f>
        <v/>
      </c>
      <c r="N3" s="45">
        <f>K3*Pricing!$D$3</f>
        <v/>
      </c>
      <c r="O3" s="45">
        <f>M3*Pricing!$D$5</f>
        <v/>
      </c>
      <c r="P3" s="45">
        <f>M3*0.5*0.8*Pricing!$D$8</f>
        <v/>
      </c>
      <c r="Q3" s="45" t="n">
        <v>0</v>
      </c>
      <c r="R3" s="45">
        <f>N3+O3+P3+Q3</f>
        <v/>
      </c>
    </row>
    <row r="4" ht="20" customHeight="1">
      <c r="B4" s="42" t="n">
        <v>2</v>
      </c>
      <c r="C4" s="43" t="inlineStr">
        <is>
          <t>Web Ingress (Nginx Plus)</t>
        </is>
      </c>
      <c r="D4" s="43" t="inlineStr">
        <is>
          <t>PVLMNG02ABD24LP - Nginx Plus Gateway</t>
        </is>
      </c>
      <c r="E4" s="42" t="inlineStr">
        <is>
          <t>Enterprise</t>
        </is>
      </c>
      <c r="F4" s="42" t="inlineStr">
        <is>
          <t>DC1</t>
        </is>
      </c>
      <c r="G4" s="42" t="n">
        <v>1</v>
      </c>
      <c r="H4" s="42" t="n">
        <v>8</v>
      </c>
      <c r="I4" s="42" t="n">
        <v>16</v>
      </c>
      <c r="J4" s="42" t="n">
        <v>100</v>
      </c>
      <c r="K4" s="44">
        <f>G4*H4</f>
        <v/>
      </c>
      <c r="L4" s="44">
        <f>G4*I4</f>
        <v/>
      </c>
      <c r="M4" s="44">
        <f>G4*J4</f>
        <v/>
      </c>
      <c r="N4" s="45">
        <f>K4*Pricing!$D$3</f>
        <v/>
      </c>
      <c r="O4" s="45">
        <f>M4*Pricing!$D$5</f>
        <v/>
      </c>
      <c r="P4" s="45">
        <f>M4*0.5*0.8*Pricing!$D$8</f>
        <v/>
      </c>
      <c r="Q4" s="45" t="n">
        <v>0</v>
      </c>
      <c r="R4" s="45">
        <f>N4+O4+P4+Q4</f>
        <v/>
      </c>
    </row>
    <row r="5" ht="20" customHeight="1">
      <c r="B5" s="42" t="n">
        <v>3</v>
      </c>
      <c r="C5" s="43" t="inlineStr">
        <is>
          <t>OCP Worker (Baremetal)</t>
        </is>
      </c>
      <c r="D5" s="43" t="inlineStr">
        <is>
          <t>PPWRKR01LMC25LP - OCP BM Worker Node 1</t>
        </is>
      </c>
      <c r="E5" s="42" t="inlineStr">
        <is>
          <t>Enterprise</t>
        </is>
      </c>
      <c r="F5" s="42" t="inlineStr">
        <is>
          <t>DC1</t>
        </is>
      </c>
      <c r="G5" s="42" t="n">
        <v>1</v>
      </c>
      <c r="H5" s="42" t="n">
        <v>64</v>
      </c>
      <c r="I5" s="42" t="n">
        <v>1024</v>
      </c>
      <c r="J5" s="42" t="n">
        <v>300</v>
      </c>
      <c r="K5" s="44">
        <f>G5*H5</f>
        <v/>
      </c>
      <c r="L5" s="44">
        <f>G5*I5</f>
        <v/>
      </c>
      <c r="M5" s="44">
        <f>G5*J5</f>
        <v/>
      </c>
      <c r="N5" s="45">
        <f>K5*Pricing!$D$3</f>
        <v/>
      </c>
      <c r="O5" s="45">
        <f>M5*Pricing!$D$5</f>
        <v/>
      </c>
      <c r="P5" s="45">
        <f>M5*0.5*0.8*Pricing!$D$8</f>
        <v/>
      </c>
      <c r="Q5" s="45">
        <f>G5*Pricing!$D$10</f>
        <v/>
      </c>
      <c r="R5" s="45">
        <f>N5+O5+P5+Q5</f>
        <v/>
      </c>
    </row>
    <row r="6" ht="20" customHeight="1">
      <c r="B6" s="42" t="n">
        <v>4</v>
      </c>
      <c r="C6" s="43" t="inlineStr">
        <is>
          <t>OCP Worker (Baremetal)</t>
        </is>
      </c>
      <c r="D6" s="43" t="inlineStr">
        <is>
          <t>PPWRKR02LMC25LP - OCP BM Worker Node 2</t>
        </is>
      </c>
      <c r="E6" s="42" t="inlineStr">
        <is>
          <t>Enterprise</t>
        </is>
      </c>
      <c r="F6" s="42" t="inlineStr">
        <is>
          <t>DC1</t>
        </is>
      </c>
      <c r="G6" s="42" t="n">
        <v>1</v>
      </c>
      <c r="H6" s="42" t="n">
        <v>64</v>
      </c>
      <c r="I6" s="42" t="n">
        <v>1024</v>
      </c>
      <c r="J6" s="42" t="n">
        <v>300</v>
      </c>
      <c r="K6" s="44">
        <f>G6*H6</f>
        <v/>
      </c>
      <c r="L6" s="44">
        <f>G6*I6</f>
        <v/>
      </c>
      <c r="M6" s="44">
        <f>G6*J6</f>
        <v/>
      </c>
      <c r="N6" s="45">
        <f>K6*Pricing!$D$3</f>
        <v/>
      </c>
      <c r="O6" s="45">
        <f>M6*Pricing!$D$5</f>
        <v/>
      </c>
      <c r="P6" s="45">
        <f>M6*0.5*0.8*Pricing!$D$8</f>
        <v/>
      </c>
      <c r="Q6" s="45">
        <f>G6*Pricing!$D$10</f>
        <v/>
      </c>
      <c r="R6" s="45">
        <f>N6+O6+P6+Q6</f>
        <v/>
      </c>
    </row>
    <row r="7" ht="20" customHeight="1">
      <c r="B7" s="42" t="n">
        <v>5</v>
      </c>
      <c r="C7" s="43" t="inlineStr">
        <is>
          <t>Oracle DB RAC 1 (BM)</t>
        </is>
      </c>
      <c r="D7" s="43" t="inlineStr">
        <is>
          <t>PPLMDB1DRX25LP - Oracle RAC BM Node 1</t>
        </is>
      </c>
      <c r="E7" s="42" t="inlineStr">
        <is>
          <t>Enterprise</t>
        </is>
      </c>
      <c r="F7" s="42" t="inlineStr">
        <is>
          <t>DC1</t>
        </is>
      </c>
      <c r="G7" s="42" t="n">
        <v>1</v>
      </c>
      <c r="H7" s="42" t="n">
        <v>64</v>
      </c>
      <c r="I7" s="42" t="n">
        <v>1024</v>
      </c>
      <c r="J7" s="42" t="n">
        <v>500</v>
      </c>
      <c r="K7" s="44">
        <f>G7*H7</f>
        <v/>
      </c>
      <c r="L7" s="44">
        <f>G7*I7</f>
        <v/>
      </c>
      <c r="M7" s="44">
        <f>G7*J7</f>
        <v/>
      </c>
      <c r="N7" s="45">
        <f>K7*Pricing!$D$3</f>
        <v/>
      </c>
      <c r="O7" s="45">
        <f>M7*Pricing!$D$5</f>
        <v/>
      </c>
      <c r="P7" s="45">
        <f>M7*0.5*0.8*Pricing!$D$8</f>
        <v/>
      </c>
      <c r="Q7" s="45">
        <f>G7*Pricing!$D$10</f>
        <v/>
      </c>
      <c r="R7" s="45">
        <f>N7+O7+P7+Q7</f>
        <v/>
      </c>
    </row>
    <row r="8" ht="20" customHeight="1">
      <c r="B8" s="42" t="n">
        <v>6</v>
      </c>
      <c r="C8" s="43" t="inlineStr">
        <is>
          <t>Oracle DB RAC 2 (BM)</t>
        </is>
      </c>
      <c r="D8" s="43" t="inlineStr">
        <is>
          <t>PPLMDB2DRX25LP - Oracle RAC BM Node 2</t>
        </is>
      </c>
      <c r="E8" s="42" t="inlineStr">
        <is>
          <t>Enterprise</t>
        </is>
      </c>
      <c r="F8" s="42" t="inlineStr">
        <is>
          <t>DC1</t>
        </is>
      </c>
      <c r="G8" s="42" t="n">
        <v>1</v>
      </c>
      <c r="H8" s="42" t="n">
        <v>64</v>
      </c>
      <c r="I8" s="42" t="n">
        <v>1024</v>
      </c>
      <c r="J8" s="42" t="n">
        <v>500</v>
      </c>
      <c r="K8" s="44">
        <f>G8*H8</f>
        <v/>
      </c>
      <c r="L8" s="44">
        <f>G8*I8</f>
        <v/>
      </c>
      <c r="M8" s="44">
        <f>G8*J8</f>
        <v/>
      </c>
      <c r="N8" s="45">
        <f>K8*Pricing!$D$3</f>
        <v/>
      </c>
      <c r="O8" s="45">
        <f>M8*Pricing!$D$5</f>
        <v/>
      </c>
      <c r="P8" s="45">
        <f>M8*0.5*0.8*Pricing!$D$8</f>
        <v/>
      </c>
      <c r="Q8" s="45">
        <f>G8*Pricing!$D$10</f>
        <v/>
      </c>
      <c r="R8" s="45">
        <f>N8+O8+P8+Q8</f>
        <v/>
      </c>
    </row>
    <row r="9" ht="20" customHeight="1">
      <c r="B9" s="42" t="n">
        <v>7</v>
      </c>
      <c r="C9" s="43" t="inlineStr">
        <is>
          <t>Oracle DB ASM SAN Storage</t>
        </is>
      </c>
      <c r="D9" s="43" t="inlineStr">
        <is>
          <t>Oracle ASM SAN Storage Tier 2 (Data 5.0 TB)</t>
        </is>
      </c>
      <c r="E9" s="42" t="inlineStr">
        <is>
          <t>Enterprise</t>
        </is>
      </c>
      <c r="F9" s="42" t="inlineStr">
        <is>
          <t>DC1</t>
        </is>
      </c>
      <c r="G9" s="42" t="n">
        <v>1</v>
      </c>
      <c r="H9" s="42" t="n">
        <v>0</v>
      </c>
      <c r="I9" s="42" t="n">
        <v>0</v>
      </c>
      <c r="J9" s="42" t="n">
        <v>5000</v>
      </c>
      <c r="K9" s="44">
        <f>G9*H9</f>
        <v/>
      </c>
      <c r="L9" s="44">
        <f>G9*I9</f>
        <v/>
      </c>
      <c r="M9" s="44">
        <f>G9*J9</f>
        <v/>
      </c>
      <c r="N9" s="45">
        <f>K9*Pricing!$D$3</f>
        <v/>
      </c>
      <c r="O9" s="45">
        <f>M9*Pricing!$D$5</f>
        <v/>
      </c>
      <c r="P9" s="45">
        <f>M9*0.5*0.8*Pricing!$D$8</f>
        <v/>
      </c>
      <c r="Q9" s="45" t="n">
        <v>0</v>
      </c>
      <c r="R9" s="45">
        <f>N9+O9+P9+Q9</f>
        <v/>
      </c>
    </row>
    <row r="10" ht="20" customHeight="1">
      <c r="B10" s="42" t="n">
        <v>8</v>
      </c>
      <c r="C10" s="43" t="inlineStr">
        <is>
          <t>Redis Enterprise Shard 1</t>
        </is>
      </c>
      <c r="D10" s="43" t="inlineStr">
        <is>
          <t>PVLMRD01ABD24LP - Redis Enterprise Node 1</t>
        </is>
      </c>
      <c r="E10" s="42" t="inlineStr">
        <is>
          <t>Enterprise</t>
        </is>
      </c>
      <c r="F10" s="42" t="inlineStr">
        <is>
          <t>DC1</t>
        </is>
      </c>
      <c r="G10" s="42" t="n">
        <v>1</v>
      </c>
      <c r="H10" s="42" t="n">
        <v>8</v>
      </c>
      <c r="I10" s="42" t="n">
        <v>32</v>
      </c>
      <c r="J10" s="42" t="n">
        <v>200</v>
      </c>
      <c r="K10" s="44">
        <f>G10*H10</f>
        <v/>
      </c>
      <c r="L10" s="44">
        <f>G10*I10</f>
        <v/>
      </c>
      <c r="M10" s="44">
        <f>G10*J10</f>
        <v/>
      </c>
      <c r="N10" s="45">
        <f>K10*Pricing!$D$3</f>
        <v/>
      </c>
      <c r="O10" s="45">
        <f>M10*Pricing!$D$5</f>
        <v/>
      </c>
      <c r="P10" s="45">
        <f>M10*0.5*0.8*Pricing!$D$8</f>
        <v/>
      </c>
      <c r="Q10" s="45" t="n">
        <v>0</v>
      </c>
      <c r="R10" s="45">
        <f>N10+O10+P10+Q10</f>
        <v/>
      </c>
    </row>
    <row r="11" ht="20" customHeight="1">
      <c r="B11" s="42" t="n">
        <v>9</v>
      </c>
      <c r="C11" s="43" t="inlineStr">
        <is>
          <t>Redis Enterprise Shard 2</t>
        </is>
      </c>
      <c r="D11" s="43" t="inlineStr">
        <is>
          <t>PVLMRD02ABD24LP - Redis Enterprise Node 2</t>
        </is>
      </c>
      <c r="E11" s="42" t="inlineStr">
        <is>
          <t>Enterprise</t>
        </is>
      </c>
      <c r="F11" s="42" t="inlineStr">
        <is>
          <t>DC1</t>
        </is>
      </c>
      <c r="G11" s="42" t="n">
        <v>1</v>
      </c>
      <c r="H11" s="42" t="n">
        <v>8</v>
      </c>
      <c r="I11" s="42" t="n">
        <v>32</v>
      </c>
      <c r="J11" s="42" t="n">
        <v>200</v>
      </c>
      <c r="K11" s="44">
        <f>G11*H11</f>
        <v/>
      </c>
      <c r="L11" s="44">
        <f>G11*I11</f>
        <v/>
      </c>
      <c r="M11" s="44">
        <f>G11*J11</f>
        <v/>
      </c>
      <c r="N11" s="45">
        <f>K11*Pricing!$D$3</f>
        <v/>
      </c>
      <c r="O11" s="45">
        <f>M11*Pricing!$D$5</f>
        <v/>
      </c>
      <c r="P11" s="45">
        <f>M11*0.5*0.8*Pricing!$D$8</f>
        <v/>
      </c>
      <c r="Q11" s="45" t="n">
        <v>0</v>
      </c>
      <c r="R11" s="45">
        <f>N11+O11+P11+Q11</f>
        <v/>
      </c>
    </row>
    <row r="12" ht="20" customHeight="1">
      <c r="B12" s="42" t="n">
        <v>10</v>
      </c>
      <c r="C12" s="43" t="inlineStr">
        <is>
          <t>Redis Enterprise Shard 3</t>
        </is>
      </c>
      <c r="D12" s="43" t="inlineStr">
        <is>
          <t>PVLMRD03ABD24LP - Redis Enterprise Node 3</t>
        </is>
      </c>
      <c r="E12" s="42" t="inlineStr">
        <is>
          <t>Enterprise</t>
        </is>
      </c>
      <c r="F12" s="42" t="inlineStr">
        <is>
          <t>DC1</t>
        </is>
      </c>
      <c r="G12" s="42" t="n">
        <v>1</v>
      </c>
      <c r="H12" s="42" t="n">
        <v>8</v>
      </c>
      <c r="I12" s="42" t="n">
        <v>32</v>
      </c>
      <c r="J12" s="42" t="n">
        <v>200</v>
      </c>
      <c r="K12" s="44">
        <f>G12*H12</f>
        <v/>
      </c>
      <c r="L12" s="44">
        <f>G12*I12</f>
        <v/>
      </c>
      <c r="M12" s="44">
        <f>G12*J12</f>
        <v/>
      </c>
      <c r="N12" s="45">
        <f>K12*Pricing!$D$3</f>
        <v/>
      </c>
      <c r="O12" s="45">
        <f>M12*Pricing!$D$5</f>
        <v/>
      </c>
      <c r="P12" s="45">
        <f>M12*0.5*0.8*Pricing!$D$8</f>
        <v/>
      </c>
      <c r="Q12" s="45" t="n">
        <v>0</v>
      </c>
      <c r="R12" s="45">
        <f>N12+O12+P12+Q12</f>
        <v/>
      </c>
    </row>
    <row r="13" ht="20" customHeight="1">
      <c r="B13" s="42" t="n">
        <v>11</v>
      </c>
      <c r="C13" s="43" t="inlineStr">
        <is>
          <t>Kafka Zookeeper Cluster</t>
        </is>
      </c>
      <c r="D13" s="43" t="inlineStr">
        <is>
          <t>PVLMZK01-03 - Confluent Kafka Zookeeper</t>
        </is>
      </c>
      <c r="E13" s="42" t="inlineStr">
        <is>
          <t>Enterprise</t>
        </is>
      </c>
      <c r="F13" s="42" t="inlineStr">
        <is>
          <t>DC1</t>
        </is>
      </c>
      <c r="G13" s="42" t="n">
        <v>3</v>
      </c>
      <c r="H13" s="42" t="n">
        <v>4</v>
      </c>
      <c r="I13" s="42" t="n">
        <v>32</v>
      </c>
      <c r="J13" s="42" t="n">
        <v>100</v>
      </c>
      <c r="K13" s="44">
        <f>G13*H13</f>
        <v/>
      </c>
      <c r="L13" s="44">
        <f>G13*I13</f>
        <v/>
      </c>
      <c r="M13" s="44">
        <f>G13*J13</f>
        <v/>
      </c>
      <c r="N13" s="45">
        <f>K13*Pricing!$D$3</f>
        <v/>
      </c>
      <c r="O13" s="45">
        <f>M13*Pricing!$D$5</f>
        <v/>
      </c>
      <c r="P13" s="45">
        <f>M13*0.5*0.8*Pricing!$D$8</f>
        <v/>
      </c>
      <c r="Q13" s="45" t="n">
        <v>0</v>
      </c>
      <c r="R13" s="45">
        <f>N13+O13+P13+Q13</f>
        <v/>
      </c>
    </row>
    <row r="14" ht="20" customHeight="1">
      <c r="B14" s="42" t="n">
        <v>12</v>
      </c>
      <c r="C14" s="43" t="inlineStr">
        <is>
          <t>Kafka Broker Cluster</t>
        </is>
      </c>
      <c r="D14" s="43" t="inlineStr">
        <is>
          <t>PVLMKB01-03 - Confluent Kafka Broker</t>
        </is>
      </c>
      <c r="E14" s="42" t="inlineStr">
        <is>
          <t>Enterprise</t>
        </is>
      </c>
      <c r="F14" s="42" t="inlineStr">
        <is>
          <t>DC1</t>
        </is>
      </c>
      <c r="G14" s="42" t="n">
        <v>3</v>
      </c>
      <c r="H14" s="42" t="n">
        <v>16</v>
      </c>
      <c r="I14" s="42" t="n">
        <v>32</v>
      </c>
      <c r="J14" s="42" t="n">
        <v>1000</v>
      </c>
      <c r="K14" s="44">
        <f>G14*H14</f>
        <v/>
      </c>
      <c r="L14" s="44">
        <f>G14*I14</f>
        <v/>
      </c>
      <c r="M14" s="44">
        <f>G14*J14</f>
        <v/>
      </c>
      <c r="N14" s="45">
        <f>K14*Pricing!$D$3</f>
        <v/>
      </c>
      <c r="O14" s="45">
        <f>M14*Pricing!$D$5</f>
        <v/>
      </c>
      <c r="P14" s="45">
        <f>M14*0.5*0.8*Pricing!$D$8</f>
        <v/>
      </c>
      <c r="Q14" s="45" t="n">
        <v>0</v>
      </c>
      <c r="R14" s="45">
        <f>N14+O14+P14+Q14</f>
        <v/>
      </c>
    </row>
    <row r="15" ht="20" customHeight="1">
      <c r="B15" s="42" t="n">
        <v>13</v>
      </c>
      <c r="C15" s="43" t="inlineStr">
        <is>
          <t>Kafka Connect C3</t>
        </is>
      </c>
      <c r="D15" s="43" t="inlineStr">
        <is>
          <t>PVLMKC01ABD24LP - Confluent Control Center</t>
        </is>
      </c>
      <c r="E15" s="42" t="inlineStr">
        <is>
          <t>Enterprise</t>
        </is>
      </c>
      <c r="F15" s="42" t="inlineStr">
        <is>
          <t>DC1</t>
        </is>
      </c>
      <c r="G15" s="42" t="n">
        <v>1</v>
      </c>
      <c r="H15" s="42" t="n">
        <v>8</v>
      </c>
      <c r="I15" s="42" t="n">
        <v>16</v>
      </c>
      <c r="J15" s="42" t="n">
        <v>100</v>
      </c>
      <c r="K15" s="44">
        <f>G15*H15</f>
        <v/>
      </c>
      <c r="L15" s="44">
        <f>G15*I15</f>
        <v/>
      </c>
      <c r="M15" s="44">
        <f>G15*J15</f>
        <v/>
      </c>
      <c r="N15" s="45">
        <f>K15*Pricing!$D$3</f>
        <v/>
      </c>
      <c r="O15" s="45">
        <f>M15*Pricing!$D$5</f>
        <v/>
      </c>
      <c r="P15" s="45">
        <f>M15*0.5*0.8*Pricing!$D$8</f>
        <v/>
      </c>
      <c r="Q15" s="45" t="n">
        <v>0</v>
      </c>
      <c r="R15" s="45">
        <f>N15+O15+P15+Q15</f>
        <v/>
      </c>
    </row>
    <row r="16" ht="20" customHeight="1">
      <c r="B16" s="42" t="n">
        <v>14</v>
      </c>
      <c r="C16" s="43" t="inlineStr">
        <is>
          <t>Elasticsearch Master</t>
        </is>
      </c>
      <c r="D16" s="43" t="inlineStr">
        <is>
          <t>PVLMEM01-03 - Elasticsearch Master Node</t>
        </is>
      </c>
      <c r="E16" s="42" t="inlineStr">
        <is>
          <t>Enterprise</t>
        </is>
      </c>
      <c r="F16" s="42" t="inlineStr">
        <is>
          <t>DC1</t>
        </is>
      </c>
      <c r="G16" s="42" t="n">
        <v>3</v>
      </c>
      <c r="H16" s="42" t="n">
        <v>8</v>
      </c>
      <c r="I16" s="42" t="n">
        <v>32</v>
      </c>
      <c r="J16" s="42" t="n">
        <v>50</v>
      </c>
      <c r="K16" s="44">
        <f>G16*H16</f>
        <v/>
      </c>
      <c r="L16" s="44">
        <f>G16*I16</f>
        <v/>
      </c>
      <c r="M16" s="44">
        <f>G16*J16</f>
        <v/>
      </c>
      <c r="N16" s="45">
        <f>K16*Pricing!$D$3</f>
        <v/>
      </c>
      <c r="O16" s="45">
        <f>M16*Pricing!$D$5</f>
        <v/>
      </c>
      <c r="P16" s="45">
        <f>M16*0.5*0.8*Pricing!$D$8</f>
        <v/>
      </c>
      <c r="Q16" s="45" t="n">
        <v>0</v>
      </c>
      <c r="R16" s="45">
        <f>N16+O16+P16+Q16</f>
        <v/>
      </c>
    </row>
    <row r="17" ht="20" customHeight="1">
      <c r="B17" s="42" t="n">
        <v>15</v>
      </c>
      <c r="C17" s="43" t="inlineStr">
        <is>
          <t>Elasticsearch Data Hot</t>
        </is>
      </c>
      <c r="D17" s="43" t="inlineStr">
        <is>
          <t>PVLMDH01-02 - Elasticsearch Data Hot Node</t>
        </is>
      </c>
      <c r="E17" s="42" t="inlineStr">
        <is>
          <t>Enterprise</t>
        </is>
      </c>
      <c r="F17" s="42" t="inlineStr">
        <is>
          <t>DC1</t>
        </is>
      </c>
      <c r="G17" s="42" t="n">
        <v>2</v>
      </c>
      <c r="H17" s="42" t="n">
        <v>16</v>
      </c>
      <c r="I17" s="42" t="n">
        <v>32</v>
      </c>
      <c r="J17" s="42" t="n">
        <v>1900</v>
      </c>
      <c r="K17" s="44">
        <f>G17*H17</f>
        <v/>
      </c>
      <c r="L17" s="44">
        <f>G17*I17</f>
        <v/>
      </c>
      <c r="M17" s="44">
        <f>G17*J17</f>
        <v/>
      </c>
      <c r="N17" s="45">
        <f>K17*Pricing!$D$3</f>
        <v/>
      </c>
      <c r="O17" s="45">
        <f>M17*Pricing!$D$5</f>
        <v/>
      </c>
      <c r="P17" s="45">
        <f>M17*0.5*0.8*Pricing!$D$8</f>
        <v/>
      </c>
      <c r="Q17" s="45" t="n">
        <v>0</v>
      </c>
      <c r="R17" s="45">
        <f>N17+O17+P17+Q17</f>
        <v/>
      </c>
    </row>
    <row r="18" ht="20" customHeight="1">
      <c r="B18" s="42" t="n">
        <v>16</v>
      </c>
      <c r="C18" s="43" t="inlineStr">
        <is>
          <t>Elasticsearch Data Warm</t>
        </is>
      </c>
      <c r="D18" s="43" t="inlineStr">
        <is>
          <t>PVLMDW01 - Elasticsearch Data Warm Node</t>
        </is>
      </c>
      <c r="E18" s="42" t="inlineStr">
        <is>
          <t>Enterprise</t>
        </is>
      </c>
      <c r="F18" s="42" t="inlineStr">
        <is>
          <t>DC1</t>
        </is>
      </c>
      <c r="G18" s="42" t="n">
        <v>1</v>
      </c>
      <c r="H18" s="42" t="n">
        <v>16</v>
      </c>
      <c r="I18" s="42" t="n">
        <v>32</v>
      </c>
      <c r="J18" s="42" t="n">
        <v>1900</v>
      </c>
      <c r="K18" s="44">
        <f>G18*H18</f>
        <v/>
      </c>
      <c r="L18" s="44">
        <f>G18*I18</f>
        <v/>
      </c>
      <c r="M18" s="44">
        <f>G18*J18</f>
        <v/>
      </c>
      <c r="N18" s="45">
        <f>K18*Pricing!$D$3</f>
        <v/>
      </c>
      <c r="O18" s="45">
        <f>M18*Pricing!$D$5</f>
        <v/>
      </c>
      <c r="P18" s="45">
        <f>M18*0.5*0.8*Pricing!$D$8</f>
        <v/>
      </c>
      <c r="Q18" s="45" t="n">
        <v>0</v>
      </c>
      <c r="R18" s="45">
        <f>N18+O18+P18+Q18</f>
        <v/>
      </c>
    </row>
    <row r="19" ht="20" customHeight="1">
      <c r="B19" s="42" t="n">
        <v>17</v>
      </c>
      <c r="C19" s="43" t="inlineStr">
        <is>
          <t>Elasticsearch Coordinator</t>
        </is>
      </c>
      <c r="D19" s="43" t="inlineStr">
        <is>
          <t>PVLMEC01-02 - Elasticsearch Coordinator Node</t>
        </is>
      </c>
      <c r="E19" s="42" t="inlineStr">
        <is>
          <t>Enterprise</t>
        </is>
      </c>
      <c r="F19" s="42" t="inlineStr">
        <is>
          <t>DC1</t>
        </is>
      </c>
      <c r="G19" s="42" t="n">
        <v>2</v>
      </c>
      <c r="H19" s="42" t="n">
        <v>4</v>
      </c>
      <c r="I19" s="42" t="n">
        <v>32</v>
      </c>
      <c r="J19" s="42" t="n">
        <v>50</v>
      </c>
      <c r="K19" s="44">
        <f>G19*H19</f>
        <v/>
      </c>
      <c r="L19" s="44">
        <f>G19*I19</f>
        <v/>
      </c>
      <c r="M19" s="44">
        <f>G19*J19</f>
        <v/>
      </c>
      <c r="N19" s="45">
        <f>K19*Pricing!$D$3</f>
        <v/>
      </c>
      <c r="O19" s="45">
        <f>M19*Pricing!$D$5</f>
        <v/>
      </c>
      <c r="P19" s="45">
        <f>M19*0.5*0.8*Pricing!$D$8</f>
        <v/>
      </c>
      <c r="Q19" s="45" t="n">
        <v>0</v>
      </c>
      <c r="R19" s="45">
        <f>N19+O19+P19+Q19</f>
        <v/>
      </c>
    </row>
    <row r="20" ht="20" customHeight="1">
      <c r="B20" s="42" t="n">
        <v>18</v>
      </c>
      <c r="C20" s="43" t="inlineStr">
        <is>
          <t>Logstash Shipper</t>
        </is>
      </c>
      <c r="D20" s="43" t="inlineStr">
        <is>
          <t>PVLMEL01-02 - Logstash Shipper Node</t>
        </is>
      </c>
      <c r="E20" s="42" t="inlineStr">
        <is>
          <t>Enterprise</t>
        </is>
      </c>
      <c r="F20" s="42" t="inlineStr">
        <is>
          <t>DC1</t>
        </is>
      </c>
      <c r="G20" s="42" t="n">
        <v>2</v>
      </c>
      <c r="H20" s="42" t="n">
        <v>8</v>
      </c>
      <c r="I20" s="42" t="n">
        <v>32</v>
      </c>
      <c r="J20" s="42" t="n">
        <v>100</v>
      </c>
      <c r="K20" s="44">
        <f>G20*H20</f>
        <v/>
      </c>
      <c r="L20" s="44">
        <f>G20*I20</f>
        <v/>
      </c>
      <c r="M20" s="44">
        <f>G20*J20</f>
        <v/>
      </c>
      <c r="N20" s="45">
        <f>K20*Pricing!$D$3</f>
        <v/>
      </c>
      <c r="O20" s="45">
        <f>M20*Pricing!$D$5</f>
        <v/>
      </c>
      <c r="P20" s="45">
        <f>M20*0.5*0.8*Pricing!$D$8</f>
        <v/>
      </c>
      <c r="Q20" s="45" t="n">
        <v>0</v>
      </c>
      <c r="R20" s="45">
        <f>N20+O20+P20+Q20</f>
        <v/>
      </c>
    </row>
    <row r="21" ht="20" customHeight="1">
      <c r="B21" s="42" t="n">
        <v>19</v>
      </c>
      <c r="C21" s="43" t="inlineStr">
        <is>
          <t>Batch Server Control-M</t>
        </is>
      </c>
      <c r="D21" s="43" t="inlineStr">
        <is>
          <t>PVLMBC01ABD25LP - Batch Automation Server</t>
        </is>
      </c>
      <c r="E21" s="42" t="inlineStr">
        <is>
          <t>Enterprise</t>
        </is>
      </c>
      <c r="F21" s="42" t="inlineStr">
        <is>
          <t>DC1</t>
        </is>
      </c>
      <c r="G21" s="42" t="n">
        <v>1</v>
      </c>
      <c r="H21" s="42" t="n">
        <v>4</v>
      </c>
      <c r="I21" s="42" t="n">
        <v>8</v>
      </c>
      <c r="J21" s="42" t="n">
        <v>100</v>
      </c>
      <c r="K21" s="44">
        <f>G21*H21</f>
        <v/>
      </c>
      <c r="L21" s="44">
        <f>G21*I21</f>
        <v/>
      </c>
      <c r="M21" s="44">
        <f>G21*J21</f>
        <v/>
      </c>
      <c r="N21" s="45">
        <f>K21*Pricing!$D$3</f>
        <v/>
      </c>
      <c r="O21" s="45">
        <f>M21*Pricing!$D$5</f>
        <v/>
      </c>
      <c r="P21" s="45">
        <f>M21*0.5*0.8*Pricing!$D$8</f>
        <v/>
      </c>
      <c r="Q21" s="45" t="n">
        <v>0</v>
      </c>
      <c r="R21" s="45">
        <f>N21+O21+P21+Q21</f>
        <v/>
      </c>
    </row>
    <row r="22" ht="10" customHeight="1"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</row>
    <row r="23" ht="20" customHeight="1">
      <c r="B23" s="42" t="n">
        <v>20</v>
      </c>
      <c r="C23" s="43" t="inlineStr">
        <is>
          <t>Web Ingress (Nginx Plus)</t>
        </is>
      </c>
      <c r="D23" s="43" t="inlineStr">
        <is>
          <t>RVLMNG01ABD24LP - Nginx Plus Gateway DRC</t>
        </is>
      </c>
      <c r="E23" s="42" t="inlineStr">
        <is>
          <t>Enterprise</t>
        </is>
      </c>
      <c r="F23" s="42" t="inlineStr">
        <is>
          <t>DC2</t>
        </is>
      </c>
      <c r="G23" s="42" t="n">
        <v>1</v>
      </c>
      <c r="H23" s="42" t="n">
        <v>8</v>
      </c>
      <c r="I23" s="42" t="n">
        <v>16</v>
      </c>
      <c r="J23" s="42" t="n">
        <v>100</v>
      </c>
      <c r="K23" s="44">
        <f>G23*H23</f>
        <v/>
      </c>
      <c r="L23" s="44">
        <f>G23*I23</f>
        <v/>
      </c>
      <c r="M23" s="44">
        <f>G23*J23</f>
        <v/>
      </c>
      <c r="N23" s="45">
        <f>K23*Pricing!$D$3</f>
        <v/>
      </c>
      <c r="O23" s="45">
        <f>M23*Pricing!$D$5</f>
        <v/>
      </c>
      <c r="P23" s="45">
        <f>M23*0.5*0.8*Pricing!$D$8</f>
        <v/>
      </c>
      <c r="Q23" s="45" t="n">
        <v>0</v>
      </c>
      <c r="R23" s="45">
        <f>N23+O23+P23+Q23</f>
        <v/>
      </c>
    </row>
    <row r="24" ht="20" customHeight="1">
      <c r="B24" s="42" t="n">
        <v>21</v>
      </c>
      <c r="C24" s="43" t="inlineStr">
        <is>
          <t>Web Ingress (Nginx Plus)</t>
        </is>
      </c>
      <c r="D24" s="43" t="inlineStr">
        <is>
          <t>RVLMNG02ABD24LP - Nginx Plus Gateway DRC</t>
        </is>
      </c>
      <c r="E24" s="42" t="inlineStr">
        <is>
          <t>Enterprise</t>
        </is>
      </c>
      <c r="F24" s="42" t="inlineStr">
        <is>
          <t>DC2</t>
        </is>
      </c>
      <c r="G24" s="42" t="n">
        <v>1</v>
      </c>
      <c r="H24" s="42" t="n">
        <v>8</v>
      </c>
      <c r="I24" s="42" t="n">
        <v>16</v>
      </c>
      <c r="J24" s="42" t="n">
        <v>100</v>
      </c>
      <c r="K24" s="44">
        <f>G24*H24</f>
        <v/>
      </c>
      <c r="L24" s="44">
        <f>G24*I24</f>
        <v/>
      </c>
      <c r="M24" s="44">
        <f>G24*J24</f>
        <v/>
      </c>
      <c r="N24" s="45">
        <f>K24*Pricing!$D$3</f>
        <v/>
      </c>
      <c r="O24" s="45">
        <f>M24*Pricing!$D$5</f>
        <v/>
      </c>
      <c r="P24" s="45">
        <f>M24*0.5*0.8*Pricing!$D$8</f>
        <v/>
      </c>
      <c r="Q24" s="45" t="n">
        <v>0</v>
      </c>
      <c r="R24" s="45">
        <f>N24+O24+P24+Q24</f>
        <v/>
      </c>
    </row>
    <row r="25" ht="20" customHeight="1">
      <c r="B25" s="42" t="n">
        <v>22</v>
      </c>
      <c r="C25" s="43" t="inlineStr">
        <is>
          <t>OCP Worker (Baremetal)</t>
        </is>
      </c>
      <c r="D25" s="43" t="inlineStr">
        <is>
          <t>RPWRKR01LMC25LP - OCP BM Worker Node 1 DRC</t>
        </is>
      </c>
      <c r="E25" s="42" t="inlineStr">
        <is>
          <t>Enterprise</t>
        </is>
      </c>
      <c r="F25" s="42" t="inlineStr">
        <is>
          <t>DC2</t>
        </is>
      </c>
      <c r="G25" s="42" t="n">
        <v>1</v>
      </c>
      <c r="H25" s="42" t="n">
        <v>64</v>
      </c>
      <c r="I25" s="42" t="n">
        <v>1024</v>
      </c>
      <c r="J25" s="42" t="n">
        <v>300</v>
      </c>
      <c r="K25" s="44">
        <f>G25*H25</f>
        <v/>
      </c>
      <c r="L25" s="44">
        <f>G25*I25</f>
        <v/>
      </c>
      <c r="M25" s="44">
        <f>G25*J25</f>
        <v/>
      </c>
      <c r="N25" s="45">
        <f>K25*Pricing!$D$3</f>
        <v/>
      </c>
      <c r="O25" s="45">
        <f>M25*Pricing!$D$5</f>
        <v/>
      </c>
      <c r="P25" s="45">
        <f>M25*0.5*0.8*Pricing!$D$8</f>
        <v/>
      </c>
      <c r="Q25" s="45">
        <f>G25*Pricing!$D$10</f>
        <v/>
      </c>
      <c r="R25" s="45">
        <f>N25+O25+P25+Q25</f>
        <v/>
      </c>
    </row>
    <row r="26" ht="20" customHeight="1">
      <c r="B26" s="42" t="n">
        <v>23</v>
      </c>
      <c r="C26" s="43" t="inlineStr">
        <is>
          <t>OCP Worker (Baremetal)</t>
        </is>
      </c>
      <c r="D26" s="43" t="inlineStr">
        <is>
          <t>RPWRKR02LMC25LP - OCP BM Worker Node 2 DRC</t>
        </is>
      </c>
      <c r="E26" s="42" t="inlineStr">
        <is>
          <t>Enterprise</t>
        </is>
      </c>
      <c r="F26" s="42" t="inlineStr">
        <is>
          <t>DC2</t>
        </is>
      </c>
      <c r="G26" s="42" t="n">
        <v>1</v>
      </c>
      <c r="H26" s="42" t="n">
        <v>64</v>
      </c>
      <c r="I26" s="42" t="n">
        <v>1024</v>
      </c>
      <c r="J26" s="42" t="n">
        <v>300</v>
      </c>
      <c r="K26" s="44">
        <f>G26*H26</f>
        <v/>
      </c>
      <c r="L26" s="44">
        <f>G26*I26</f>
        <v/>
      </c>
      <c r="M26" s="44">
        <f>G26*J26</f>
        <v/>
      </c>
      <c r="N26" s="45">
        <f>K26*Pricing!$D$3</f>
        <v/>
      </c>
      <c r="O26" s="45">
        <f>M26*Pricing!$D$5</f>
        <v/>
      </c>
      <c r="P26" s="45">
        <f>M26*0.5*0.8*Pricing!$D$8</f>
        <v/>
      </c>
      <c r="Q26" s="45">
        <f>G26*Pricing!$D$10</f>
        <v/>
      </c>
      <c r="R26" s="45">
        <f>N26+O26+P26+Q26</f>
        <v/>
      </c>
    </row>
    <row r="27" ht="20" customHeight="1">
      <c r="B27" s="42" t="n">
        <v>24</v>
      </c>
      <c r="C27" s="43" t="inlineStr">
        <is>
          <t>Oracle DB RAC 1 (BM)</t>
        </is>
      </c>
      <c r="D27" s="43" t="inlineStr">
        <is>
          <t>RPLMDB1DRX25LP - Oracle RAC BM Node 1 DRC</t>
        </is>
      </c>
      <c r="E27" s="42" t="inlineStr">
        <is>
          <t>Enterprise</t>
        </is>
      </c>
      <c r="F27" s="42" t="inlineStr">
        <is>
          <t>DC2</t>
        </is>
      </c>
      <c r="G27" s="42" t="n">
        <v>1</v>
      </c>
      <c r="H27" s="42" t="n">
        <v>64</v>
      </c>
      <c r="I27" s="42" t="n">
        <v>1024</v>
      </c>
      <c r="J27" s="42" t="n">
        <v>500</v>
      </c>
      <c r="K27" s="44">
        <f>G27*H27</f>
        <v/>
      </c>
      <c r="L27" s="44">
        <f>G27*I27</f>
        <v/>
      </c>
      <c r="M27" s="44">
        <f>G27*J27</f>
        <v/>
      </c>
      <c r="N27" s="45">
        <f>K27*Pricing!$D$3</f>
        <v/>
      </c>
      <c r="O27" s="45">
        <f>M27*Pricing!$D$5</f>
        <v/>
      </c>
      <c r="P27" s="45">
        <f>M27*0.5*0.8*Pricing!$D$8</f>
        <v/>
      </c>
      <c r="Q27" s="45">
        <f>G27*Pricing!$D$10</f>
        <v/>
      </c>
      <c r="R27" s="45">
        <f>N27+O27+P27+Q27</f>
        <v/>
      </c>
    </row>
    <row r="28" ht="20" customHeight="1">
      <c r="B28" s="42" t="n">
        <v>25</v>
      </c>
      <c r="C28" s="43" t="inlineStr">
        <is>
          <t>Oracle DB RAC 2 (BM)</t>
        </is>
      </c>
      <c r="D28" s="43" t="inlineStr">
        <is>
          <t>RPLMDB2DRX25LP - Oracle RAC BM Node 2 DRC</t>
        </is>
      </c>
      <c r="E28" s="42" t="inlineStr">
        <is>
          <t>Enterprise</t>
        </is>
      </c>
      <c r="F28" s="42" t="inlineStr">
        <is>
          <t>DC2</t>
        </is>
      </c>
      <c r="G28" s="42" t="n">
        <v>1</v>
      </c>
      <c r="H28" s="42" t="n">
        <v>64</v>
      </c>
      <c r="I28" s="42" t="n">
        <v>1024</v>
      </c>
      <c r="J28" s="42" t="n">
        <v>500</v>
      </c>
      <c r="K28" s="44">
        <f>G28*H28</f>
        <v/>
      </c>
      <c r="L28" s="44">
        <f>G28*I28</f>
        <v/>
      </c>
      <c r="M28" s="44">
        <f>G28*J28</f>
        <v/>
      </c>
      <c r="N28" s="45">
        <f>K28*Pricing!$D$3</f>
        <v/>
      </c>
      <c r="O28" s="45">
        <f>M28*Pricing!$D$5</f>
        <v/>
      </c>
      <c r="P28" s="45">
        <f>M28*0.5*0.8*Pricing!$D$8</f>
        <v/>
      </c>
      <c r="Q28" s="45">
        <f>G28*Pricing!$D$10</f>
        <v/>
      </c>
      <c r="R28" s="45">
        <f>N28+O28+P28+Q28</f>
        <v/>
      </c>
    </row>
    <row r="29" ht="20" customHeight="1">
      <c r="B29" s="42" t="n">
        <v>26</v>
      </c>
      <c r="C29" s="43" t="inlineStr">
        <is>
          <t>Oracle DB ASM SAN Storage</t>
        </is>
      </c>
      <c r="D29" s="43" t="inlineStr">
        <is>
          <t>Oracle ASM SAN Storage Tier 2 DRC (Data 5.0 TB)</t>
        </is>
      </c>
      <c r="E29" s="42" t="inlineStr">
        <is>
          <t>Enterprise</t>
        </is>
      </c>
      <c r="F29" s="42" t="inlineStr">
        <is>
          <t>DC2</t>
        </is>
      </c>
      <c r="G29" s="42" t="n">
        <v>1</v>
      </c>
      <c r="H29" s="42" t="n">
        <v>0</v>
      </c>
      <c r="I29" s="42" t="n">
        <v>0</v>
      </c>
      <c r="J29" s="42" t="n">
        <v>5000</v>
      </c>
      <c r="K29" s="44">
        <f>G29*H29</f>
        <v/>
      </c>
      <c r="L29" s="44">
        <f>G29*I29</f>
        <v/>
      </c>
      <c r="M29" s="44">
        <f>G29*J29</f>
        <v/>
      </c>
      <c r="N29" s="45">
        <f>K29*Pricing!$D$3</f>
        <v/>
      </c>
      <c r="O29" s="45">
        <f>M29*Pricing!$D$5</f>
        <v/>
      </c>
      <c r="P29" s="45">
        <f>M29*0.5*0.8*Pricing!$D$8</f>
        <v/>
      </c>
      <c r="Q29" s="45" t="n">
        <v>0</v>
      </c>
      <c r="R29" s="45">
        <f>N29+O29+P29+Q29</f>
        <v/>
      </c>
    </row>
    <row r="30" ht="20" customHeight="1">
      <c r="B30" s="42" t="n">
        <v>27</v>
      </c>
      <c r="C30" s="43" t="inlineStr">
        <is>
          <t>Redis Enterprise Shard</t>
        </is>
      </c>
      <c r="D30" s="43" t="inlineStr">
        <is>
          <t>RVLMRD01-03 - Redis Enterprise Replica DRC</t>
        </is>
      </c>
      <c r="E30" s="42" t="inlineStr">
        <is>
          <t>Enterprise</t>
        </is>
      </c>
      <c r="F30" s="42" t="inlineStr">
        <is>
          <t>DC2</t>
        </is>
      </c>
      <c r="G30" s="42" t="n">
        <v>3</v>
      </c>
      <c r="H30" s="42" t="n">
        <v>8</v>
      </c>
      <c r="I30" s="42" t="n">
        <v>32</v>
      </c>
      <c r="J30" s="42" t="n">
        <v>200</v>
      </c>
      <c r="K30" s="44">
        <f>G30*H30</f>
        <v/>
      </c>
      <c r="L30" s="44">
        <f>G30*I30</f>
        <v/>
      </c>
      <c r="M30" s="44">
        <f>G30*J30</f>
        <v/>
      </c>
      <c r="N30" s="45">
        <f>K30*Pricing!$D$3</f>
        <v/>
      </c>
      <c r="O30" s="45">
        <f>M30*Pricing!$D$5</f>
        <v/>
      </c>
      <c r="P30" s="45">
        <f>M30*0.5*0.8*Pricing!$D$8</f>
        <v/>
      </c>
      <c r="Q30" s="45" t="n">
        <v>0</v>
      </c>
      <c r="R30" s="45">
        <f>N30+O30+P30+Q30</f>
        <v/>
      </c>
    </row>
    <row r="31" ht="20" customHeight="1">
      <c r="B31" s="42" t="n">
        <v>28</v>
      </c>
      <c r="C31" s="43" t="inlineStr">
        <is>
          <t>Kafka Zookeeper Cluster</t>
        </is>
      </c>
      <c r="D31" s="43" t="inlineStr">
        <is>
          <t>RVLMZK01-03 - Confluent Kafka Zookeeper DRC</t>
        </is>
      </c>
      <c r="E31" s="42" t="inlineStr">
        <is>
          <t>Enterprise</t>
        </is>
      </c>
      <c r="F31" s="42" t="inlineStr">
        <is>
          <t>DC2</t>
        </is>
      </c>
      <c r="G31" s="42" t="n">
        <v>3</v>
      </c>
      <c r="H31" s="42" t="n">
        <v>4</v>
      </c>
      <c r="I31" s="42" t="n">
        <v>32</v>
      </c>
      <c r="J31" s="42" t="n">
        <v>100</v>
      </c>
      <c r="K31" s="44">
        <f>G31*H31</f>
        <v/>
      </c>
      <c r="L31" s="44">
        <f>G31*I31</f>
        <v/>
      </c>
      <c r="M31" s="44">
        <f>G31*J31</f>
        <v/>
      </c>
      <c r="N31" s="45">
        <f>K31*Pricing!$D$3</f>
        <v/>
      </c>
      <c r="O31" s="45">
        <f>M31*Pricing!$D$5</f>
        <v/>
      </c>
      <c r="P31" s="45">
        <f>M31*0.5*0.8*Pricing!$D$8</f>
        <v/>
      </c>
      <c r="Q31" s="45" t="n">
        <v>0</v>
      </c>
      <c r="R31" s="45">
        <f>N31+O31+P31+Q31</f>
        <v/>
      </c>
    </row>
    <row r="32" ht="20" customHeight="1">
      <c r="B32" s="42" t="n">
        <v>29</v>
      </c>
      <c r="C32" s="43" t="inlineStr">
        <is>
          <t>Kafka Broker Cluster</t>
        </is>
      </c>
      <c r="D32" s="43" t="inlineStr">
        <is>
          <t>RVLMKB01-03 - Confluent Kafka Broker DRC</t>
        </is>
      </c>
      <c r="E32" s="42" t="inlineStr">
        <is>
          <t>Enterprise</t>
        </is>
      </c>
      <c r="F32" s="42" t="inlineStr">
        <is>
          <t>DC2</t>
        </is>
      </c>
      <c r="G32" s="42" t="n">
        <v>3</v>
      </c>
      <c r="H32" s="42" t="n">
        <v>16</v>
      </c>
      <c r="I32" s="42" t="n">
        <v>32</v>
      </c>
      <c r="J32" s="42" t="n">
        <v>1000</v>
      </c>
      <c r="K32" s="44">
        <f>G32*H32</f>
        <v/>
      </c>
      <c r="L32" s="44">
        <f>G32*I32</f>
        <v/>
      </c>
      <c r="M32" s="44">
        <f>G32*J32</f>
        <v/>
      </c>
      <c r="N32" s="45">
        <f>K32*Pricing!$D$3</f>
        <v/>
      </c>
      <c r="O32" s="45">
        <f>M32*Pricing!$D$5</f>
        <v/>
      </c>
      <c r="P32" s="45">
        <f>M32*0.5*0.8*Pricing!$D$8</f>
        <v/>
      </c>
      <c r="Q32" s="45" t="n">
        <v>0</v>
      </c>
      <c r="R32" s="45">
        <f>N32+O32+P32+Q32</f>
        <v/>
      </c>
    </row>
    <row r="33" ht="20" customHeight="1">
      <c r="B33" s="42" t="n">
        <v>30</v>
      </c>
      <c r="C33" s="43" t="inlineStr">
        <is>
          <t>Elasticsearch Master</t>
        </is>
      </c>
      <c r="D33" s="43" t="inlineStr">
        <is>
          <t>RVLMEM01-03 - Elasticsearch Master Node DRC</t>
        </is>
      </c>
      <c r="E33" s="42" t="inlineStr">
        <is>
          <t>Enterprise</t>
        </is>
      </c>
      <c r="F33" s="42" t="inlineStr">
        <is>
          <t>DC2</t>
        </is>
      </c>
      <c r="G33" s="42" t="n">
        <v>3</v>
      </c>
      <c r="H33" s="42" t="n">
        <v>8</v>
      </c>
      <c r="I33" s="42" t="n">
        <v>32</v>
      </c>
      <c r="J33" s="42" t="n">
        <v>50</v>
      </c>
      <c r="K33" s="44">
        <f>G33*H33</f>
        <v/>
      </c>
      <c r="L33" s="44">
        <f>G33*I33</f>
        <v/>
      </c>
      <c r="M33" s="44">
        <f>G33*J33</f>
        <v/>
      </c>
      <c r="N33" s="45">
        <f>K33*Pricing!$D$3</f>
        <v/>
      </c>
      <c r="O33" s="45">
        <f>M33*Pricing!$D$5</f>
        <v/>
      </c>
      <c r="P33" s="45">
        <f>M33*0.5*0.8*Pricing!$D$8</f>
        <v/>
      </c>
      <c r="Q33" s="45" t="n">
        <v>0</v>
      </c>
      <c r="R33" s="45">
        <f>N33+O33+P33+Q33</f>
        <v/>
      </c>
    </row>
    <row r="34" ht="20" customHeight="1">
      <c r="B34" s="42" t="n">
        <v>31</v>
      </c>
      <c r="C34" s="43" t="inlineStr">
        <is>
          <t>Elasticsearch Data Hot</t>
        </is>
      </c>
      <c r="D34" s="43" t="inlineStr">
        <is>
          <t>RVLMDH01-02 - Elasticsearch Data Hot Node DRC</t>
        </is>
      </c>
      <c r="E34" s="42" t="inlineStr">
        <is>
          <t>Enterprise</t>
        </is>
      </c>
      <c r="F34" s="42" t="inlineStr">
        <is>
          <t>DC2</t>
        </is>
      </c>
      <c r="G34" s="42" t="n">
        <v>2</v>
      </c>
      <c r="H34" s="42" t="n">
        <v>16</v>
      </c>
      <c r="I34" s="42" t="n">
        <v>32</v>
      </c>
      <c r="J34" s="42" t="n">
        <v>1900</v>
      </c>
      <c r="K34" s="44">
        <f>G34*H34</f>
        <v/>
      </c>
      <c r="L34" s="44">
        <f>G34*I34</f>
        <v/>
      </c>
      <c r="M34" s="44">
        <f>G34*J34</f>
        <v/>
      </c>
      <c r="N34" s="45">
        <f>K34*Pricing!$D$3</f>
        <v/>
      </c>
      <c r="O34" s="45">
        <f>M34*Pricing!$D$5</f>
        <v/>
      </c>
      <c r="P34" s="45">
        <f>M34*0.5*0.8*Pricing!$D$8</f>
        <v/>
      </c>
      <c r="Q34" s="45" t="n">
        <v>0</v>
      </c>
      <c r="R34" s="45">
        <f>N34+O34+P34+Q34</f>
        <v/>
      </c>
    </row>
    <row r="35" ht="20" customHeight="1">
      <c r="B35" s="42" t="n">
        <v>32</v>
      </c>
      <c r="C35" s="43" t="inlineStr">
        <is>
          <t>Elasticsearch Data Warm</t>
        </is>
      </c>
      <c r="D35" s="43" t="inlineStr">
        <is>
          <t>RVLMDW01 - Elasticsearch Data Warm Node DRC</t>
        </is>
      </c>
      <c r="E35" s="42" t="inlineStr">
        <is>
          <t>Enterprise</t>
        </is>
      </c>
      <c r="F35" s="42" t="inlineStr">
        <is>
          <t>DC2</t>
        </is>
      </c>
      <c r="G35" s="42" t="n">
        <v>1</v>
      </c>
      <c r="H35" s="42" t="n">
        <v>16</v>
      </c>
      <c r="I35" s="42" t="n">
        <v>32</v>
      </c>
      <c r="J35" s="42" t="n">
        <v>1900</v>
      </c>
      <c r="K35" s="44">
        <f>G35*H35</f>
        <v/>
      </c>
      <c r="L35" s="44">
        <f>G35*I35</f>
        <v/>
      </c>
      <c r="M35" s="44">
        <f>G35*J35</f>
        <v/>
      </c>
      <c r="N35" s="45">
        <f>K35*Pricing!$D$3</f>
        <v/>
      </c>
      <c r="O35" s="45">
        <f>M35*Pricing!$D$5</f>
        <v/>
      </c>
      <c r="P35" s="45">
        <f>M35*0.5*0.8*Pricing!$D$8</f>
        <v/>
      </c>
      <c r="Q35" s="45" t="n">
        <v>0</v>
      </c>
      <c r="R35" s="45">
        <f>N35+O35+P35+Q35</f>
        <v/>
      </c>
    </row>
    <row r="36" ht="20" customHeight="1">
      <c r="B36" s="42" t="n">
        <v>33</v>
      </c>
      <c r="C36" s="43" t="inlineStr">
        <is>
          <t>Logstash Shipper</t>
        </is>
      </c>
      <c r="D36" s="43" t="inlineStr">
        <is>
          <t>RVLMEL01-02 - Logstash Shipper Node DRC</t>
        </is>
      </c>
      <c r="E36" s="42" t="inlineStr">
        <is>
          <t>Enterprise</t>
        </is>
      </c>
      <c r="F36" s="42" t="inlineStr">
        <is>
          <t>DC2</t>
        </is>
      </c>
      <c r="G36" s="42" t="n">
        <v>2</v>
      </c>
      <c r="H36" s="42" t="n">
        <v>8</v>
      </c>
      <c r="I36" s="42" t="n">
        <v>32</v>
      </c>
      <c r="J36" s="42" t="n">
        <v>100</v>
      </c>
      <c r="K36" s="44">
        <f>G36*H36</f>
        <v/>
      </c>
      <c r="L36" s="44">
        <f>G36*I36</f>
        <v/>
      </c>
      <c r="M36" s="44">
        <f>G36*J36</f>
        <v/>
      </c>
      <c r="N36" s="45">
        <f>K36*Pricing!$D$3</f>
        <v/>
      </c>
      <c r="O36" s="45">
        <f>M36*Pricing!$D$5</f>
        <v/>
      </c>
      <c r="P36" s="45">
        <f>M36*0.5*0.8*Pricing!$D$8</f>
        <v/>
      </c>
      <c r="Q36" s="45" t="n">
        <v>0</v>
      </c>
      <c r="R36" s="45">
        <f>N36+O36+P36+Q36</f>
        <v/>
      </c>
    </row>
    <row r="37" ht="10" customHeight="1">
      <c r="B37" s="47" t="n"/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</row>
    <row r="38" ht="20" customHeight="1">
      <c r="B38" s="48" t="n">
        <v>34</v>
      </c>
      <c r="C38" s="49" t="inlineStr">
        <is>
          <t>Web Ingress (Nginx PT)</t>
        </is>
      </c>
      <c r="D38" s="49" t="inlineStr">
        <is>
          <t>Nginx Plus PT Gateway</t>
        </is>
      </c>
      <c r="E38" s="48" t="inlineStr">
        <is>
          <t>Enterprise</t>
        </is>
      </c>
      <c r="F38" s="48" t="inlineStr">
        <is>
          <t>DEV</t>
        </is>
      </c>
      <c r="G38" s="48" t="n">
        <v>2</v>
      </c>
      <c r="H38" s="48" t="n">
        <v>8</v>
      </c>
      <c r="I38" s="48" t="n">
        <v>16</v>
      </c>
      <c r="J38" s="48" t="n">
        <v>100</v>
      </c>
      <c r="K38" s="50">
        <f>G38*H38</f>
        <v/>
      </c>
      <c r="L38" s="50">
        <f>G38*I38</f>
        <v/>
      </c>
      <c r="M38" s="50">
        <f>G38*J38</f>
        <v/>
      </c>
      <c r="N38" s="51">
        <f>K38*Pricing!$D$4</f>
        <v/>
      </c>
      <c r="O38" s="51">
        <f>M38*Pricing!$D$7</f>
        <v/>
      </c>
      <c r="P38" s="51">
        <f>M38*0.5*0.8*Pricing!$D$8</f>
        <v/>
      </c>
      <c r="Q38" s="51" t="n">
        <v>0</v>
      </c>
      <c r="R38" s="51">
        <f>N38+O38+P38+Q38</f>
        <v/>
      </c>
    </row>
    <row r="39" ht="20" customHeight="1">
      <c r="B39" s="48" t="n">
        <v>35</v>
      </c>
      <c r="C39" s="49" t="inlineStr">
        <is>
          <t>OCP Worker (PT Pod)</t>
        </is>
      </c>
      <c r="D39" s="49" t="inlineStr">
        <is>
          <t>Red Hat OCP Worker PT Pods</t>
        </is>
      </c>
      <c r="E39" s="48" t="inlineStr">
        <is>
          <t>Enterprise</t>
        </is>
      </c>
      <c r="F39" s="48" t="inlineStr">
        <is>
          <t>DEV</t>
        </is>
      </c>
      <c r="G39" s="48" t="n">
        <v>1</v>
      </c>
      <c r="H39" s="48" t="n">
        <v>16</v>
      </c>
      <c r="I39" s="48" t="n">
        <v>32</v>
      </c>
      <c r="J39" s="48" t="n">
        <v>200</v>
      </c>
      <c r="K39" s="50">
        <f>G39*H39</f>
        <v/>
      </c>
      <c r="L39" s="50">
        <f>G39*I39</f>
        <v/>
      </c>
      <c r="M39" s="50">
        <f>G39*J39</f>
        <v/>
      </c>
      <c r="N39" s="51">
        <f>K39*Pricing!$D$4</f>
        <v/>
      </c>
      <c r="O39" s="51">
        <f>M39*Pricing!$D$7</f>
        <v/>
      </c>
      <c r="P39" s="51">
        <f>M39*0.5*0.8*Pricing!$D$8</f>
        <v/>
      </c>
      <c r="Q39" s="51" t="n">
        <v>0</v>
      </c>
      <c r="R39" s="51">
        <f>N39+O39+P39+Q39</f>
        <v/>
      </c>
    </row>
    <row r="40" ht="20" customHeight="1">
      <c r="B40" s="48" t="n">
        <v>36</v>
      </c>
      <c r="C40" s="49" t="inlineStr">
        <is>
          <t>Oracle DB Standalone (PT)</t>
        </is>
      </c>
      <c r="D40" s="49" t="inlineStr">
        <is>
          <t>Oracle DB PT Standalone Instance (VM)</t>
        </is>
      </c>
      <c r="E40" s="48" t="inlineStr">
        <is>
          <t>Enterprise</t>
        </is>
      </c>
      <c r="F40" s="48" t="inlineStr">
        <is>
          <t>DEV</t>
        </is>
      </c>
      <c r="G40" s="48" t="n">
        <v>1</v>
      </c>
      <c r="H40" s="48" t="n">
        <v>16</v>
      </c>
      <c r="I40" s="48" t="n">
        <v>32</v>
      </c>
      <c r="J40" s="48" t="n">
        <v>1000</v>
      </c>
      <c r="K40" s="50">
        <f>G40*H40</f>
        <v/>
      </c>
      <c r="L40" s="50">
        <f>G40*I40</f>
        <v/>
      </c>
      <c r="M40" s="50">
        <f>G40*J40</f>
        <v/>
      </c>
      <c r="N40" s="51">
        <f>K40*Pricing!$D$4</f>
        <v/>
      </c>
      <c r="O40" s="51">
        <f>M40*Pricing!$D$7</f>
        <v/>
      </c>
      <c r="P40" s="51">
        <f>M40*0.5*0.8*Pricing!$D$8</f>
        <v/>
      </c>
      <c r="Q40" s="51" t="n">
        <v>0</v>
      </c>
      <c r="R40" s="51">
        <f>N40+O40+P40+Q40</f>
        <v/>
      </c>
    </row>
    <row r="41" ht="20" customHeight="1">
      <c r="B41" s="48" t="n">
        <v>37</v>
      </c>
      <c r="C41" s="49" t="inlineStr">
        <is>
          <t>Kafka Broker Non-Prod</t>
        </is>
      </c>
      <c r="D41" s="49" t="inlineStr">
        <is>
          <t>Kafka Broker Non-Prod Cluster</t>
        </is>
      </c>
      <c r="E41" s="48" t="inlineStr">
        <is>
          <t>Enterprise</t>
        </is>
      </c>
      <c r="F41" s="48" t="inlineStr">
        <is>
          <t>DEV</t>
        </is>
      </c>
      <c r="G41" s="48" t="n">
        <v>3</v>
      </c>
      <c r="H41" s="48" t="n">
        <v>4</v>
      </c>
      <c r="I41" s="48" t="n">
        <v>16</v>
      </c>
      <c r="J41" s="48" t="n">
        <v>300</v>
      </c>
      <c r="K41" s="50">
        <f>G41*H41</f>
        <v/>
      </c>
      <c r="L41" s="50">
        <f>G41*I41</f>
        <v/>
      </c>
      <c r="M41" s="50">
        <f>G41*J41</f>
        <v/>
      </c>
      <c r="N41" s="51">
        <f>K41*Pricing!$D$4</f>
        <v/>
      </c>
      <c r="O41" s="51">
        <f>M41*Pricing!$D$7</f>
        <v/>
      </c>
      <c r="P41" s="51">
        <f>M41*0.5*0.8*Pricing!$D$8</f>
        <v/>
      </c>
      <c r="Q41" s="51" t="n">
        <v>0</v>
      </c>
      <c r="R41" s="51">
        <f>N41+O41+P41+Q41</f>
        <v/>
      </c>
    </row>
    <row r="42" ht="20" customHeight="1">
      <c r="B42" s="48" t="n">
        <v>38</v>
      </c>
      <c r="C42" s="49" t="inlineStr">
        <is>
          <t>Elasticsearch Non-Prod</t>
        </is>
      </c>
      <c r="D42" s="49" t="inlineStr">
        <is>
          <t>Elasticsearch PT Cluster Node</t>
        </is>
      </c>
      <c r="E42" s="48" t="inlineStr">
        <is>
          <t>Enterprise</t>
        </is>
      </c>
      <c r="F42" s="48" t="inlineStr">
        <is>
          <t>DEV</t>
        </is>
      </c>
      <c r="G42" s="48" t="n">
        <v>2</v>
      </c>
      <c r="H42" s="48" t="n">
        <v>8</v>
      </c>
      <c r="I42" s="48" t="n">
        <v>16</v>
      </c>
      <c r="J42" s="48" t="n">
        <v>200</v>
      </c>
      <c r="K42" s="50">
        <f>G42*H42</f>
        <v/>
      </c>
      <c r="L42" s="50">
        <f>G42*I42</f>
        <v/>
      </c>
      <c r="M42" s="50">
        <f>G42*J42</f>
        <v/>
      </c>
      <c r="N42" s="51">
        <f>K42*Pricing!$D$4</f>
        <v/>
      </c>
      <c r="O42" s="51">
        <f>M42*Pricing!$D$7</f>
        <v/>
      </c>
      <c r="P42" s="51">
        <f>M42*0.5*0.8*Pricing!$D$8</f>
        <v/>
      </c>
      <c r="Q42" s="51" t="n">
        <v>0</v>
      </c>
      <c r="R42" s="51">
        <f>N42+O42+P42+Q42</f>
        <v/>
      </c>
    </row>
    <row r="43" ht="20" customHeight="1">
      <c r="B43" s="48" t="n">
        <v>39</v>
      </c>
      <c r="C43" s="49" t="inlineStr">
        <is>
          <t>Logstash Non-Prod</t>
        </is>
      </c>
      <c r="D43" s="49" t="inlineStr">
        <is>
          <t>Logstash PT Shipper Node</t>
        </is>
      </c>
      <c r="E43" s="48" t="inlineStr">
        <is>
          <t>Enterprise</t>
        </is>
      </c>
      <c r="F43" s="48" t="inlineStr">
        <is>
          <t>DEV</t>
        </is>
      </c>
      <c r="G43" s="48" t="n">
        <v>1</v>
      </c>
      <c r="H43" s="48" t="n">
        <v>4</v>
      </c>
      <c r="I43" s="48" t="n">
        <v>8</v>
      </c>
      <c r="J43" s="48" t="n">
        <v>100</v>
      </c>
      <c r="K43" s="50">
        <f>G43*H43</f>
        <v/>
      </c>
      <c r="L43" s="50">
        <f>G43*I43</f>
        <v/>
      </c>
      <c r="M43" s="50">
        <f>G43*J43</f>
        <v/>
      </c>
      <c r="N43" s="51">
        <f>K43*Pricing!$D$4</f>
        <v/>
      </c>
      <c r="O43" s="51">
        <f>M43*Pricing!$D$7</f>
        <v/>
      </c>
      <c r="P43" s="51">
        <f>M43*0.5*0.8*Pricing!$D$8</f>
        <v/>
      </c>
      <c r="Q43" s="51" t="n">
        <v>0</v>
      </c>
      <c r="R43" s="51">
        <f>N43+O43+P43+Q43</f>
        <v/>
      </c>
    </row>
    <row r="44" ht="24" customHeight="1">
      <c r="B44" s="52" t="inlineStr">
        <is>
          <t>TOTAL BIAYA INFRASTRUKTUR / TAHUN</t>
        </is>
      </c>
      <c r="C44" s="53" t="n"/>
      <c r="D44" s="53" t="n"/>
      <c r="E44" s="53" t="n"/>
      <c r="F44" s="53" t="n"/>
      <c r="G44" s="54">
        <f>SUM(G3:G43)</f>
        <v/>
      </c>
      <c r="H44" s="53" t="n"/>
      <c r="I44" s="53" t="n"/>
      <c r="J44" s="53" t="n"/>
      <c r="K44" s="54">
        <f>SUM(K3:K43)</f>
        <v/>
      </c>
      <c r="L44" s="54">
        <f>SUM(L3:L43)</f>
        <v/>
      </c>
      <c r="M44" s="54">
        <f>SUM(M3:M43)</f>
        <v/>
      </c>
      <c r="N44" s="55">
        <f>SUM(N3:N43)</f>
        <v/>
      </c>
      <c r="O44" s="55">
        <f>SUM(O3:O43)</f>
        <v/>
      </c>
      <c r="P44" s="55">
        <f>SUM(P3:P43)</f>
        <v/>
      </c>
      <c r="Q44" s="55">
        <f>SUM(Q3:Q43)</f>
        <v/>
      </c>
      <c r="R44" s="55">
        <f>SUM(R3:R43)</f>
        <v/>
      </c>
    </row>
    <row r="46" ht="24" customHeight="1">
      <c r="B46" s="56" t="inlineStr">
        <is>
          <t>Summary Hardware Prod</t>
        </is>
      </c>
      <c r="C46" s="57" t="n"/>
      <c r="D46" s="57" t="n"/>
      <c r="G46" s="56" t="inlineStr">
        <is>
          <t>Matriks Alokasi Resource Data Center</t>
        </is>
      </c>
      <c r="H46" s="57" t="n"/>
      <c r="I46" s="57" t="n"/>
      <c r="J46" s="57" t="n"/>
    </row>
    <row r="47" ht="24" customHeight="1">
      <c r="B47" s="15" t="inlineStr">
        <is>
          <t>No</t>
        </is>
      </c>
      <c r="C47" s="15" t="inlineStr">
        <is>
          <t>Item</t>
        </is>
      </c>
      <c r="D47" s="15" t="inlineStr">
        <is>
          <t>Price</t>
        </is>
      </c>
      <c r="G47" s="15" t="inlineStr">
        <is>
          <t>DC / Environment</t>
        </is>
      </c>
      <c r="H47" s="15" t="inlineStr">
        <is>
          <t>CPU (vCPU)</t>
        </is>
      </c>
      <c r="I47" s="15" t="inlineStr">
        <is>
          <t>RAM (GB)</t>
        </is>
      </c>
      <c r="J47" s="15" t="inlineStr">
        <is>
          <t>Storage (GB)</t>
        </is>
      </c>
    </row>
    <row r="48" ht="20" customHeight="1">
      <c r="B48" s="58" t="n">
        <v>1</v>
      </c>
      <c r="C48" s="59" t="inlineStr">
        <is>
          <t>Web Ingress (Nginx Plus)</t>
        </is>
      </c>
      <c r="D48" s="60">
        <f>SUM(R3:R4)+SUM(R23:R24)</f>
        <v/>
      </c>
      <c r="G48" s="59" t="inlineStr">
        <is>
          <t>DC1 (Wisdan - Active)</t>
        </is>
      </c>
      <c r="H48" s="61">
        <f>SUM(K3:K21)</f>
        <v/>
      </c>
      <c r="I48" s="61">
        <f>SUM(L3:L21)</f>
        <v/>
      </c>
      <c r="J48" s="61">
        <f>SUM(M3:M21)</f>
        <v/>
      </c>
    </row>
    <row r="49" ht="20" customHeight="1">
      <c r="B49" s="58" t="n">
        <v>2</v>
      </c>
      <c r="C49" s="59" t="inlineStr">
        <is>
          <t>OCP Worker (Baremetal Server)</t>
        </is>
      </c>
      <c r="D49" s="60">
        <f>SUM(R5:R6)+SUM(R25:R26)</f>
        <v/>
      </c>
      <c r="G49" s="59" t="inlineStr">
        <is>
          <t>DC2 (Rempoa - Standby)</t>
        </is>
      </c>
      <c r="H49" s="61">
        <f>SUM(K23:K36)</f>
        <v/>
      </c>
      <c r="I49" s="61">
        <f>SUM(L23:L36)</f>
        <v/>
      </c>
      <c r="J49" s="61">
        <f>SUM(M23:M36)</f>
        <v/>
      </c>
    </row>
    <row r="50" ht="20" customHeight="1">
      <c r="B50" s="58" t="n">
        <v>3</v>
      </c>
      <c r="C50" s="59" t="inlineStr">
        <is>
          <t>Oracle DB RAC (BM) &amp; ASM Storage</t>
        </is>
      </c>
      <c r="D50" s="60">
        <f>SUM(R7:R9)+SUM(R27:R29)</f>
        <v/>
      </c>
      <c r="G50" s="59" t="inlineStr">
        <is>
          <t>PT / DEV (Testing)</t>
        </is>
      </c>
      <c r="H50" s="61">
        <f>SUM(K38:K43)</f>
        <v/>
      </c>
      <c r="I50" s="61">
        <f>SUM(L38:L43)</f>
        <v/>
      </c>
      <c r="J50" s="61">
        <f>SUM(M38:M43)</f>
        <v/>
      </c>
    </row>
    <row r="51" ht="20" customHeight="1">
      <c r="B51" s="58" t="n">
        <v>4</v>
      </c>
      <c r="C51" s="59" t="inlineStr">
        <is>
          <t>Redis Enterprise Cache Cluster</t>
        </is>
      </c>
      <c r="D51" s="60">
        <f>SUM(R10:R12)+R30</f>
        <v/>
      </c>
    </row>
    <row r="52" ht="20" customHeight="1">
      <c r="B52" s="58" t="n">
        <v>5</v>
      </c>
      <c r="C52" s="59" t="inlineStr">
        <is>
          <t>Confluent Kafka Message Bus Cluster</t>
        </is>
      </c>
      <c r="D52" s="60">
        <f>SUM(R13:R15)+SUM(R31:R32)</f>
        <v/>
      </c>
    </row>
    <row r="53" ht="20" customHeight="1">
      <c r="B53" s="58" t="n">
        <v>6</v>
      </c>
      <c r="C53" s="59" t="inlineStr">
        <is>
          <t>Elasticsearch Cluster (Master/Hot/Warm/Coord)</t>
        </is>
      </c>
      <c r="D53" s="60">
        <f>SUM(R16:R19)+SUM(R33:R35)</f>
        <v/>
      </c>
    </row>
    <row r="54" ht="20" customHeight="1">
      <c r="B54" s="58" t="n">
        <v>7</v>
      </c>
      <c r="C54" s="59" t="inlineStr">
        <is>
          <t>Logstash Pipeline Shipper</t>
        </is>
      </c>
      <c r="D54" s="60">
        <f>R20+R36</f>
        <v/>
      </c>
    </row>
    <row r="55" ht="20" customHeight="1">
      <c r="B55" s="58" t="n">
        <v>8</v>
      </c>
      <c r="C55" s="59" t="inlineStr">
        <is>
          <t>Batch Automation Server (Control-M)</t>
        </is>
      </c>
      <c r="D55" s="60">
        <f>R21</f>
        <v/>
      </c>
    </row>
    <row r="56" ht="22" customHeight="1">
      <c r="B56" s="62" t="n"/>
      <c r="C56" s="63" t="inlineStr">
        <is>
          <t>Total</t>
        </is>
      </c>
      <c r="D56" s="64">
        <f>SUM(D48:D55)</f>
        <v/>
      </c>
    </row>
    <row r="58" ht="24" customHeight="1">
      <c r="B58" s="56" t="inlineStr">
        <is>
          <t>Summary Hardware PT</t>
        </is>
      </c>
      <c r="C58" s="57" t="n"/>
      <c r="D58" s="57" t="n"/>
    </row>
    <row r="59" ht="24" customHeight="1">
      <c r="B59" s="15" t="inlineStr">
        <is>
          <t>No</t>
        </is>
      </c>
      <c r="C59" s="15" t="inlineStr">
        <is>
          <t>Item</t>
        </is>
      </c>
      <c r="D59" s="15" t="inlineStr">
        <is>
          <t>Price</t>
        </is>
      </c>
    </row>
    <row r="60" ht="20" customHeight="1">
      <c r="B60" s="58" t="n">
        <v>1</v>
      </c>
      <c r="C60" s="59" t="inlineStr">
        <is>
          <t>Web Ingress (Nginx PT)</t>
        </is>
      </c>
      <c r="D60" s="60">
        <f>R38</f>
        <v/>
      </c>
    </row>
    <row r="61" ht="20" customHeight="1">
      <c r="B61" s="58" t="n">
        <v>2</v>
      </c>
      <c r="C61" s="59" t="inlineStr">
        <is>
          <t>OCP Worker (PT Pod)</t>
        </is>
      </c>
      <c r="D61" s="60">
        <f>R39</f>
        <v/>
      </c>
    </row>
    <row r="62" ht="20" customHeight="1">
      <c r="B62" s="58" t="n">
        <v>3</v>
      </c>
      <c r="C62" s="59" t="inlineStr">
        <is>
          <t>Oracle DB Standalone (PT)</t>
        </is>
      </c>
      <c r="D62" s="60">
        <f>R40</f>
        <v/>
      </c>
    </row>
    <row r="63" ht="20" customHeight="1">
      <c r="B63" s="58" t="n">
        <v>4</v>
      </c>
      <c r="C63" s="59" t="inlineStr">
        <is>
          <t>Kafka Broker Non-Prod</t>
        </is>
      </c>
      <c r="D63" s="60">
        <f>R41</f>
        <v/>
      </c>
    </row>
    <row r="64" ht="20" customHeight="1">
      <c r="B64" s="58" t="n">
        <v>5</v>
      </c>
      <c r="C64" s="59" t="inlineStr">
        <is>
          <t>Elasticsearch Non-Prod</t>
        </is>
      </c>
      <c r="D64" s="60">
        <f>R42</f>
        <v/>
      </c>
    </row>
    <row r="65" ht="20" customHeight="1">
      <c r="B65" s="58" t="n">
        <v>6</v>
      </c>
      <c r="C65" s="59" t="inlineStr">
        <is>
          <t>Logstash Non-Prod</t>
        </is>
      </c>
      <c r="D65" s="60">
        <f>R43</f>
        <v/>
      </c>
    </row>
    <row r="66" ht="22" customHeight="1">
      <c r="B66" s="62" t="n"/>
      <c r="C66" s="63" t="inlineStr">
        <is>
          <t>Total</t>
        </is>
      </c>
      <c r="D66" s="64">
        <f>SUM(D60:D65)</f>
        <v/>
      </c>
    </row>
    <row r="68" ht="24" customHeight="1">
      <c r="B68" s="56" t="inlineStr">
        <is>
          <t>Summary Hardware DEV &amp; UAT</t>
        </is>
      </c>
      <c r="C68" s="57" t="n"/>
      <c r="D68" s="57" t="n"/>
    </row>
    <row r="69" ht="24" customHeight="1">
      <c r="B69" s="15" t="inlineStr">
        <is>
          <t>No</t>
        </is>
      </c>
      <c r="C69" s="15" t="inlineStr">
        <is>
          <t>Item</t>
        </is>
      </c>
      <c r="D69" s="15" t="inlineStr">
        <is>
          <t>Price</t>
        </is>
      </c>
    </row>
    <row r="70" ht="20" customHeight="1">
      <c r="B70" s="58" t="n">
        <v>1</v>
      </c>
      <c r="C70" s="59" t="inlineStr">
        <is>
          <t>DEV &amp; UAT Testing Nodes</t>
        </is>
      </c>
      <c r="D70" s="60" t="n">
        <v>0</v>
      </c>
    </row>
    <row r="71" ht="22" customHeight="1">
      <c r="B71" s="62" t="n"/>
      <c r="C71" s="63" t="inlineStr">
        <is>
          <t>Total</t>
        </is>
      </c>
      <c r="D71" s="64">
        <f>SUM(D70:D70)</f>
        <v/>
      </c>
    </row>
    <row r="73" ht="24" customHeight="1">
      <c r="B73" s="56" t="inlineStr">
        <is>
          <t>Summary License Prod</t>
        </is>
      </c>
      <c r="C73" s="57" t="n"/>
      <c r="D73" s="57" t="n"/>
      <c r="E73" s="57" t="n"/>
      <c r="F73" s="57" t="n"/>
      <c r="G73" s="57" t="n"/>
    </row>
    <row r="74" ht="24" customHeight="1">
      <c r="B74" s="15" t="inlineStr">
        <is>
          <t>No</t>
        </is>
      </c>
      <c r="C74" s="15" t="inlineStr">
        <is>
          <t>Item Software / Platform</t>
        </is>
      </c>
      <c r="D74" s="15" t="inlineStr">
        <is>
          <t>#of License</t>
        </is>
      </c>
      <c r="E74" s="15" t="inlineStr">
        <is>
          <t>Harga Satuan</t>
        </is>
      </c>
      <c r="F74" s="15" t="inlineStr">
        <is>
          <t>Total Harga</t>
        </is>
      </c>
      <c r="G74" s="15" t="inlineStr">
        <is>
          <t>Remarks</t>
        </is>
      </c>
    </row>
    <row r="75" ht="20" customHeight="1">
      <c r="B75" s="58" t="n">
        <v>1</v>
      </c>
      <c r="C75" s="59" t="inlineStr">
        <is>
          <t>NGINX Plus Enterprise Subscription</t>
        </is>
      </c>
      <c r="D75" s="58" t="n">
        <v>4</v>
      </c>
      <c r="E75" s="60" t="n">
        <v>106400727</v>
      </c>
      <c r="F75" s="60">
        <f>D75*E75</f>
        <v/>
      </c>
      <c r="G75" s="59" t="inlineStr">
        <is>
          <t>Per Ingress Instance (Opsional)</t>
        </is>
      </c>
    </row>
    <row r="76" ht="20" customHeight="1">
      <c r="B76" s="58" t="n">
        <v>2</v>
      </c>
      <c r="C76" s="59" t="inlineStr">
        <is>
          <t>Red Hat OpenShift (OCP) Baremetal DC1 &amp; DC2</t>
        </is>
      </c>
      <c r="D76" s="58" t="n">
        <v>4</v>
      </c>
      <c r="E76" s="60">
        <f>Pricing!$D$18</f>
        <v/>
      </c>
      <c r="F76" s="60">
        <f>D76*E76</f>
        <v/>
      </c>
      <c r="G76" s="59" t="inlineStr">
        <is>
          <t>Per BM Worker Node</t>
        </is>
      </c>
    </row>
    <row r="77" ht="20" customHeight="1">
      <c r="B77" s="58" t="n">
        <v>3</v>
      </c>
      <c r="C77" s="59" t="inlineStr">
        <is>
          <t>Redis Enterprise License (Multi-Shard)</t>
        </is>
      </c>
      <c r="D77" s="58" t="n">
        <v>3</v>
      </c>
      <c r="E77" s="60">
        <f>Pricing!$D$20</f>
        <v/>
      </c>
      <c r="F77" s="60">
        <f>D77*E77</f>
        <v/>
      </c>
      <c r="G77" s="59" t="inlineStr">
        <is>
          <t>3 Shards Cache Cluster</t>
        </is>
      </c>
    </row>
    <row r="78" ht="20" customHeight="1">
      <c r="B78" s="58" t="n">
        <v>4</v>
      </c>
      <c r="C78" s="59" t="inlineStr">
        <is>
          <t>Confluent Kafka Enterprise</t>
        </is>
      </c>
      <c r="D78" s="58" t="n">
        <v>1</v>
      </c>
      <c r="E78" s="60" t="n">
        <v>150000000</v>
      </c>
      <c r="F78" s="60">
        <f>D78*E78</f>
        <v/>
      </c>
      <c r="G78" s="59" t="inlineStr">
        <is>
          <t>Enterprise Subscription</t>
        </is>
      </c>
    </row>
    <row r="79" ht="20" customHeight="1">
      <c r="B79" s="58" t="n">
        <v>5</v>
      </c>
      <c r="C79" s="59" t="inlineStr">
        <is>
          <t>Elasticsearch Platinum Enterprise</t>
        </is>
      </c>
      <c r="D79" s="58" t="n">
        <v>1</v>
      </c>
      <c r="E79" s="60" t="n">
        <v>180000000</v>
      </c>
      <c r="F79" s="60">
        <f>D79*E79</f>
        <v/>
      </c>
      <c r="G79" s="59" t="inlineStr">
        <is>
          <t>Platinum Subscription</t>
        </is>
      </c>
    </row>
    <row r="80" ht="20" customHeight="1">
      <c r="B80" s="58" t="n">
        <v>6</v>
      </c>
      <c r="C80" s="59" t="inlineStr">
        <is>
          <t>Oracle Database RAC (Bankwide ELA)</t>
        </is>
      </c>
      <c r="D80" s="58" t="n">
        <v>4</v>
      </c>
      <c r="E80" s="60" t="n">
        <v>0</v>
      </c>
      <c r="F80" s="60" t="n">
        <v>0</v>
      </c>
      <c r="G80" s="59" t="inlineStr">
        <is>
          <t>Covered by ELA Bank Mandiri</t>
        </is>
      </c>
    </row>
    <row r="81" ht="20" customHeight="1">
      <c r="B81" s="58" t="n">
        <v>7</v>
      </c>
      <c r="C81" s="59" t="inlineStr">
        <is>
          <t>Oracle Linux DB (OS Support)</t>
        </is>
      </c>
      <c r="D81" s="58" t="n">
        <v>4</v>
      </c>
      <c r="E81" s="60" t="n">
        <v>24000000</v>
      </c>
      <c r="F81" s="60">
        <f>D81*E81</f>
        <v/>
      </c>
      <c r="G81" s="59" t="inlineStr">
        <is>
          <t>Per Server Support</t>
        </is>
      </c>
    </row>
    <row r="82" ht="20" customHeight="1">
      <c r="B82" s="58" t="n">
        <v>8</v>
      </c>
      <c r="C82" s="59" t="inlineStr">
        <is>
          <t>Secure Site Pro EV SSL</t>
        </is>
      </c>
      <c r="D82" s="58" t="n">
        <v>2</v>
      </c>
      <c r="E82" s="60" t="n">
        <v>25262182</v>
      </c>
      <c r="F82" s="60">
        <f>D82*E82</f>
        <v/>
      </c>
      <c r="G82" s="59" t="inlineStr">
        <is>
          <t>Domain SSL Certificate</t>
        </is>
      </c>
    </row>
    <row r="83" ht="22" customHeight="1">
      <c r="B83" s="62" t="n"/>
      <c r="C83" s="63" t="inlineStr">
        <is>
          <t>Total</t>
        </is>
      </c>
      <c r="D83" s="62" t="n"/>
      <c r="E83" s="62" t="n"/>
      <c r="F83" s="64">
        <f>SUM(F75:F82)</f>
        <v/>
      </c>
      <c r="G83" s="62" t="n"/>
    </row>
    <row r="85" ht="24" customHeight="1">
      <c r="B85" s="56" t="inlineStr">
        <is>
          <t>Summary License PT</t>
        </is>
      </c>
      <c r="C85" s="57" t="n"/>
      <c r="D85" s="57" t="n"/>
      <c r="E85" s="57" t="n"/>
      <c r="F85" s="57" t="n"/>
      <c r="G85" s="57" t="n"/>
    </row>
    <row r="86" ht="24" customHeight="1">
      <c r="B86" s="15" t="inlineStr">
        <is>
          <t>No</t>
        </is>
      </c>
      <c r="C86" s="15" t="inlineStr">
        <is>
          <t>Item Software / Platform</t>
        </is>
      </c>
      <c r="D86" s="15" t="inlineStr">
        <is>
          <t>#of License</t>
        </is>
      </c>
      <c r="E86" s="15" t="inlineStr">
        <is>
          <t>Harga Satuan</t>
        </is>
      </c>
      <c r="F86" s="15" t="inlineStr">
        <is>
          <t>Total Harga</t>
        </is>
      </c>
      <c r="G86" s="15" t="inlineStr">
        <is>
          <t>Remarks</t>
        </is>
      </c>
    </row>
    <row r="87" ht="20" customHeight="1">
      <c r="B87" s="58" t="n">
        <v>1</v>
      </c>
      <c r="C87" s="59" t="inlineStr">
        <is>
          <t>Red Hat OpenShift (OCP) Worker PreProd</t>
        </is>
      </c>
      <c r="D87" s="58" t="n">
        <v>1</v>
      </c>
      <c r="E87" s="60">
        <f>Pricing!$D$19</f>
        <v/>
      </c>
      <c r="F87" s="60">
        <f>D87*E87</f>
        <v/>
      </c>
      <c r="G87" s="59" t="inlineStr">
        <is>
          <t>PreProd / PT Worker Node</t>
        </is>
      </c>
    </row>
    <row r="88" ht="20" customHeight="1">
      <c r="B88" s="58" t="n">
        <v>2</v>
      </c>
      <c r="C88" s="59" t="inlineStr">
        <is>
          <t>Oracle Database EE (Bankwide ELA)</t>
        </is>
      </c>
      <c r="D88" s="58" t="n">
        <v>1</v>
      </c>
      <c r="E88" s="60" t="n">
        <v>0</v>
      </c>
      <c r="F88" s="60" t="n">
        <v>0</v>
      </c>
      <c r="G88" s="59" t="inlineStr">
        <is>
          <t>Covered by ELA Bank Mandiri</t>
        </is>
      </c>
    </row>
    <row r="89" ht="22" customHeight="1">
      <c r="B89" s="62" t="n"/>
      <c r="C89" s="63" t="inlineStr">
        <is>
          <t>Total</t>
        </is>
      </c>
      <c r="D89" s="62" t="n"/>
      <c r="E89" s="62" t="n"/>
      <c r="F89" s="64">
        <f>SUM(F87:F88)</f>
        <v/>
      </c>
      <c r="G89" s="62" t="n"/>
    </row>
    <row r="91" ht="24" customHeight="1">
      <c r="B91" s="56" t="inlineStr">
        <is>
          <t>Summary License DEV &amp; UAT</t>
        </is>
      </c>
      <c r="C91" s="57" t="n"/>
      <c r="D91" s="57" t="n"/>
      <c r="E91" s="57" t="n"/>
      <c r="F91" s="57" t="n"/>
      <c r="G91" s="57" t="n"/>
    </row>
    <row r="92" ht="24" customHeight="1">
      <c r="B92" s="15" t="inlineStr">
        <is>
          <t>No</t>
        </is>
      </c>
      <c r="C92" s="15" t="inlineStr">
        <is>
          <t>Item Software / Platform</t>
        </is>
      </c>
      <c r="D92" s="15" t="inlineStr">
        <is>
          <t>#of License</t>
        </is>
      </c>
      <c r="E92" s="15" t="inlineStr">
        <is>
          <t>Harga Satuan</t>
        </is>
      </c>
      <c r="F92" s="15" t="inlineStr">
        <is>
          <t>Total Harga</t>
        </is>
      </c>
      <c r="G92" s="15" t="inlineStr">
        <is>
          <t>Remarks</t>
        </is>
      </c>
    </row>
    <row r="93" ht="20" customHeight="1">
      <c r="B93" s="58" t="n">
        <v>1</v>
      </c>
      <c r="C93" s="59" t="inlineStr">
        <is>
          <t>Red Hat OpenShift (OCP) VM NPD</t>
        </is>
      </c>
      <c r="D93" s="58" t="n">
        <v>1</v>
      </c>
      <c r="E93" s="60">
        <f>Pricing!$D$19</f>
        <v/>
      </c>
      <c r="F93" s="60">
        <f>D93*E93</f>
        <v/>
      </c>
      <c r="G93" s="59" t="inlineStr">
        <is>
          <t>Non-Prod Worker Node</t>
        </is>
      </c>
    </row>
    <row r="94" ht="22" customHeight="1">
      <c r="B94" s="62" t="n"/>
      <c r="C94" s="63" t="inlineStr">
        <is>
          <t>Total</t>
        </is>
      </c>
      <c r="D94" s="62" t="n"/>
      <c r="E94" s="62" t="n"/>
      <c r="F94" s="64">
        <f>SUM(F93:F93)</f>
        <v/>
      </c>
      <c r="G94" s="62" t="n"/>
    </row>
    <row r="96" ht="24" customHeight="1">
      <c r="B96" s="56" t="inlineStr">
        <is>
          <t>Total Price Prod (Hardware + License)</t>
        </is>
      </c>
      <c r="C96" s="57" t="n"/>
      <c r="D96" s="57" t="n"/>
    </row>
    <row r="97" ht="24" customHeight="1">
      <c r="B97" s="15" t="inlineStr">
        <is>
          <t>No</t>
        </is>
      </c>
      <c r="C97" s="15" t="inlineStr">
        <is>
          <t>Komponen Biaya</t>
        </is>
      </c>
      <c r="D97" s="15" t="inlineStr">
        <is>
          <t>Total Harga</t>
        </is>
      </c>
    </row>
    <row r="98" ht="20" customHeight="1">
      <c r="B98" s="58" t="n">
        <v>1</v>
      </c>
      <c r="C98" s="59" t="inlineStr">
        <is>
          <t>Hardware Compute &amp; Storage</t>
        </is>
      </c>
      <c r="D98" s="60">
        <f>D56</f>
        <v/>
      </c>
    </row>
    <row r="99" ht="20" customHeight="1">
      <c r="B99" s="58" t="n">
        <v>2</v>
      </c>
      <c r="C99" s="59" t="inlineStr">
        <is>
          <t>Software License &amp; OS</t>
        </is>
      </c>
      <c r="D99" s="60">
        <f>F83</f>
        <v/>
      </c>
    </row>
    <row r="100" ht="22" customHeight="1">
      <c r="B100" s="62" t="n"/>
      <c r="C100" s="63" t="inlineStr">
        <is>
          <t>Total</t>
        </is>
      </c>
      <c r="D100" s="64">
        <f>SUM(D98:D99)</f>
        <v/>
      </c>
    </row>
    <row r="102" ht="24" customHeight="1">
      <c r="B102" s="56" t="inlineStr">
        <is>
          <t>Total Price PT (Hardware + License)</t>
        </is>
      </c>
      <c r="C102" s="57" t="n"/>
      <c r="D102" s="57" t="n"/>
    </row>
    <row r="103" ht="24" customHeight="1">
      <c r="B103" s="15" t="inlineStr">
        <is>
          <t>No</t>
        </is>
      </c>
      <c r="C103" s="15" t="inlineStr">
        <is>
          <t>Komponen Biaya</t>
        </is>
      </c>
      <c r="D103" s="15" t="inlineStr">
        <is>
          <t>Total Harga</t>
        </is>
      </c>
    </row>
    <row r="104" ht="20" customHeight="1">
      <c r="B104" s="58" t="n">
        <v>1</v>
      </c>
      <c r="C104" s="59" t="inlineStr">
        <is>
          <t>Hardware Compute &amp; Storage</t>
        </is>
      </c>
      <c r="D104" s="60">
        <f>D66</f>
        <v/>
      </c>
    </row>
    <row r="105" ht="20" customHeight="1">
      <c r="B105" s="58" t="n">
        <v>2</v>
      </c>
      <c r="C105" s="59" t="inlineStr">
        <is>
          <t>Software License &amp; OS</t>
        </is>
      </c>
      <c r="D105" s="60">
        <f>F89</f>
        <v/>
      </c>
    </row>
    <row r="106" ht="22" customHeight="1">
      <c r="B106" s="62" t="n"/>
      <c r="C106" s="63" t="inlineStr">
        <is>
          <t>Total</t>
        </is>
      </c>
      <c r="D106" s="64">
        <f>SUM(D104:D105)</f>
        <v/>
      </c>
    </row>
    <row r="108" ht="24" customHeight="1">
      <c r="B108" s="56" t="inlineStr">
        <is>
          <t>Total Price DEV &amp; UAT (Hardware + License)</t>
        </is>
      </c>
      <c r="C108" s="57" t="n"/>
      <c r="D108" s="57" t="n"/>
    </row>
    <row r="109" ht="24" customHeight="1">
      <c r="B109" s="15" t="inlineStr">
        <is>
          <t>No</t>
        </is>
      </c>
      <c r="C109" s="15" t="inlineStr">
        <is>
          <t>Komponen Biaya</t>
        </is>
      </c>
      <c r="D109" s="15" t="inlineStr">
        <is>
          <t>Total Harga</t>
        </is>
      </c>
    </row>
    <row r="110" ht="20" customHeight="1">
      <c r="B110" s="58" t="n">
        <v>1</v>
      </c>
      <c r="C110" s="59" t="inlineStr">
        <is>
          <t>Hardware Compute &amp; Storage</t>
        </is>
      </c>
      <c r="D110" s="60">
        <f>D71</f>
        <v/>
      </c>
    </row>
    <row r="111" ht="20" customHeight="1">
      <c r="B111" s="58" t="n">
        <v>2</v>
      </c>
      <c r="C111" s="59" t="inlineStr">
        <is>
          <t>Software License &amp; OS</t>
        </is>
      </c>
      <c r="D111" s="60">
        <f>F94</f>
        <v/>
      </c>
    </row>
    <row r="112" ht="22" customHeight="1">
      <c r="B112" s="62" t="n"/>
      <c r="C112" s="63" t="inlineStr">
        <is>
          <t>Total</t>
        </is>
      </c>
      <c r="D112" s="64">
        <f>SUM(D110:D111)</f>
        <v/>
      </c>
    </row>
    <row r="114" ht="24" customHeight="1">
      <c r="B114" s="65" t="inlineStr">
        <is>
          <t>GRAND TOTAL TCO (PROD + PT + DEV &amp; UAT)</t>
        </is>
      </c>
      <c r="C114" s="66" t="n"/>
      <c r="D114" s="67">
        <f>D100+D106+D112</f>
        <v/>
      </c>
    </row>
  </sheetData>
  <mergeCells count="13">
    <mergeCell ref="B44:F44"/>
    <mergeCell ref="G46:J46"/>
    <mergeCell ref="B85:G85"/>
    <mergeCell ref="B108:D108"/>
    <mergeCell ref="B46:D46"/>
    <mergeCell ref="B102:D102"/>
    <mergeCell ref="B114:C114"/>
    <mergeCell ref="B58:D58"/>
    <mergeCell ref="B96:D96"/>
    <mergeCell ref="B68:D68"/>
    <mergeCell ref="B73:G73"/>
    <mergeCell ref="B91:G91"/>
    <mergeCell ref="B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workbookViewId="0">
      <selection activeCell="A1" sqref="A1"/>
    </sheetView>
  </sheetViews>
  <sheetFormatPr baseColWidth="8" defaultRowHeight="15"/>
  <cols>
    <col width="9.5" customWidth="1" min="1" max="1"/>
    <col width="22" customWidth="1" min="2" max="2"/>
    <col width="16" customWidth="1" min="3" max="3"/>
    <col width="20" customWidth="1" min="4" max="4"/>
    <col width="14" customWidth="1" min="7" max="7"/>
  </cols>
  <sheetData>
    <row r="1">
      <c r="A1" s="69" t="inlineStr">
        <is>
          <t>Hardware</t>
        </is>
      </c>
      <c r="B1" s="70" t="n"/>
      <c r="C1" s="70" t="n"/>
      <c r="D1" s="71" t="n"/>
    </row>
    <row r="2">
      <c r="A2" s="72" t="inlineStr">
        <is>
          <t>No</t>
        </is>
      </c>
      <c r="B2" s="72" t="inlineStr">
        <is>
          <t>Item</t>
        </is>
      </c>
      <c r="C2" s="72" t="inlineStr">
        <is>
          <t>Env</t>
        </is>
      </c>
      <c r="D2" s="72" t="inlineStr">
        <is>
          <t>Price</t>
        </is>
      </c>
    </row>
    <row r="3">
      <c r="A3" s="73" t="n">
        <v>1</v>
      </c>
      <c r="B3" s="74" t="inlineStr">
        <is>
          <t>vCPU</t>
        </is>
      </c>
      <c r="C3" s="74" t="inlineStr">
        <is>
          <t>Production</t>
        </is>
      </c>
      <c r="D3" s="75">
        <f>7500000*110%</f>
        <v/>
      </c>
    </row>
    <row r="4">
      <c r="A4" s="73" t="n">
        <v>2</v>
      </c>
      <c r="B4" s="74" t="inlineStr">
        <is>
          <t>vCPU</t>
        </is>
      </c>
      <c r="C4" s="74" t="inlineStr">
        <is>
          <t>Dev</t>
        </is>
      </c>
      <c r="D4" s="75">
        <f>6500000*110%</f>
        <v/>
      </c>
    </row>
    <row r="5">
      <c r="A5" s="73" t="n">
        <v>3</v>
      </c>
      <c r="B5" s="74" t="inlineStr">
        <is>
          <t>Storage Tier 2</t>
        </is>
      </c>
      <c r="C5" s="74" t="inlineStr">
        <is>
          <t>Production</t>
        </is>
      </c>
      <c r="D5" s="75" t="n">
        <v>33000</v>
      </c>
    </row>
    <row r="6">
      <c r="A6" s="73" t="n">
        <v>4</v>
      </c>
      <c r="B6" s="74" t="inlineStr">
        <is>
          <t>Storage Tier 3</t>
        </is>
      </c>
      <c r="C6" s="74" t="inlineStr">
        <is>
          <t>Production</t>
        </is>
      </c>
      <c r="D6" s="76" t="n">
        <v>48000</v>
      </c>
    </row>
    <row r="7">
      <c r="A7" s="73" t="n">
        <v>5</v>
      </c>
      <c r="B7" s="74" t="inlineStr">
        <is>
          <t>Storage Dev</t>
        </is>
      </c>
      <c r="C7" s="74" t="inlineStr">
        <is>
          <t>Dev</t>
        </is>
      </c>
      <c r="D7" s="76" t="n">
        <v>28600</v>
      </c>
    </row>
    <row r="8">
      <c r="A8" s="73" t="n">
        <v>6</v>
      </c>
      <c r="B8" s="74" t="inlineStr">
        <is>
          <t>Netbackup</t>
        </is>
      </c>
      <c r="C8" s="74" t="inlineStr">
        <is>
          <t>Production</t>
        </is>
      </c>
      <c r="D8" s="75" t="n">
        <v>27000</v>
      </c>
    </row>
    <row r="9">
      <c r="A9" s="73" t="n">
        <v>7</v>
      </c>
      <c r="B9" s="74" t="inlineStr">
        <is>
          <t>Rubrik</t>
        </is>
      </c>
      <c r="C9" s="74" t="inlineStr">
        <is>
          <t>Production</t>
        </is>
      </c>
      <c r="D9" s="75" t="n">
        <v>35000</v>
      </c>
    </row>
    <row r="10">
      <c r="A10" s="73" t="n">
        <v>8</v>
      </c>
      <c r="B10" s="74" t="inlineStr">
        <is>
          <t>Baremetal</t>
        </is>
      </c>
      <c r="C10" s="74" t="inlineStr">
        <is>
          <t>Production</t>
        </is>
      </c>
      <c r="D10" s="75" t="n">
        <v>794000000</v>
      </c>
    </row>
    <row r="11">
      <c r="A11" s="73" t="n">
        <v>9</v>
      </c>
      <c r="B11" s="74" t="inlineStr">
        <is>
          <t>Baremetal</t>
        </is>
      </c>
      <c r="C11" s="74" t="inlineStr">
        <is>
          <t>Dev</t>
        </is>
      </c>
      <c r="D11" s="75" t="n">
        <v>794000000</v>
      </c>
    </row>
    <row r="12"/>
    <row r="13"/>
    <row r="14">
      <c r="A14" s="69" t="inlineStr">
        <is>
          <t>License</t>
        </is>
      </c>
      <c r="B14" s="70" t="n"/>
      <c r="C14" s="70" t="n"/>
      <c r="D14" s="71" t="n"/>
    </row>
    <row r="15">
      <c r="A15" s="72" t="inlineStr">
        <is>
          <t>No</t>
        </is>
      </c>
      <c r="B15" s="72" t="inlineStr">
        <is>
          <t>Item</t>
        </is>
      </c>
      <c r="C15" s="72" t="inlineStr">
        <is>
          <t>Env</t>
        </is>
      </c>
      <c r="D15" s="72" t="inlineStr">
        <is>
          <t>Price</t>
        </is>
      </c>
    </row>
    <row r="16">
      <c r="A16" s="73" t="n">
        <v>1</v>
      </c>
      <c r="B16" s="74" t="inlineStr">
        <is>
          <t>NGINX</t>
        </is>
      </c>
      <c r="C16" s="74" t="inlineStr">
        <is>
          <t>Production</t>
        </is>
      </c>
      <c r="D16" s="76" t="n"/>
    </row>
    <row r="17">
      <c r="A17" s="73" t="n">
        <v>2</v>
      </c>
      <c r="B17" s="74" t="inlineStr">
        <is>
          <t>NGINX</t>
        </is>
      </c>
      <c r="C17" s="74" t="inlineStr">
        <is>
          <t>Dev</t>
        </is>
      </c>
      <c r="D17" s="76" t="n"/>
    </row>
    <row r="18">
      <c r="A18" s="73" t="n">
        <v>3</v>
      </c>
      <c r="B18" s="74" t="inlineStr">
        <is>
          <t>Openshift</t>
        </is>
      </c>
      <c r="C18" s="74" t="inlineStr">
        <is>
          <t>Production</t>
        </is>
      </c>
      <c r="D18" s="76" t="n">
        <v>240000000</v>
      </c>
    </row>
    <row r="19">
      <c r="A19" s="73" t="n">
        <v>4</v>
      </c>
      <c r="B19" s="74" t="inlineStr">
        <is>
          <t>Openshift</t>
        </is>
      </c>
      <c r="C19" s="74" t="inlineStr">
        <is>
          <t>Dev</t>
        </is>
      </c>
      <c r="D19" s="76" t="n">
        <v>134000000</v>
      </c>
    </row>
    <row r="20">
      <c r="A20" s="73" t="n">
        <v>5</v>
      </c>
      <c r="B20" s="74" t="inlineStr">
        <is>
          <t>Redis</t>
        </is>
      </c>
      <c r="C20" s="74" t="inlineStr">
        <is>
          <t>Production</t>
        </is>
      </c>
      <c r="D20" s="76" t="n">
        <v>125000000</v>
      </c>
    </row>
    <row r="21">
      <c r="A21" s="73" t="n">
        <v>6</v>
      </c>
      <c r="B21" s="74" t="inlineStr">
        <is>
          <t>Redis</t>
        </is>
      </c>
      <c r="C21" s="74" t="inlineStr">
        <is>
          <t>Dev</t>
        </is>
      </c>
      <c r="D21" s="76" t="n">
        <v>75000000</v>
      </c>
    </row>
    <row r="22">
      <c r="A22" s="73" t="n">
        <v>7</v>
      </c>
      <c r="B22" s="74" t="inlineStr">
        <is>
          <t>Confluent Kafka</t>
        </is>
      </c>
      <c r="C22" s="74" t="inlineStr">
        <is>
          <t>Production</t>
        </is>
      </c>
      <c r="D22" s="76" t="n"/>
    </row>
    <row r="23">
      <c r="A23" s="73" t="n">
        <v>8</v>
      </c>
      <c r="B23" s="74" t="inlineStr">
        <is>
          <t>Confluent Kafka</t>
        </is>
      </c>
      <c r="C23" s="74" t="inlineStr">
        <is>
          <t>Dev</t>
        </is>
      </c>
      <c r="D23" s="76" t="n"/>
    </row>
    <row r="24">
      <c r="A24" t="inlineStr">
        <is>
          <t>Note : Perlu confirm ke STA, untuk harga terbaru</t>
        </is>
      </c>
    </row>
  </sheetData>
  <mergeCells count="2">
    <mergeCell ref="A1:D1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1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6" customWidth="1" min="3" max="3"/>
    <col width="32" customWidth="1" min="4" max="4"/>
    <col width="40" customWidth="1" min="5" max="5"/>
    <col width="44" customWidth="1" min="6" max="6"/>
  </cols>
  <sheetData>
    <row r="1" ht="26" customHeight="1">
      <c r="B1" s="24" t="inlineStr">
        <is>
          <t>KAMUS PERHITUNGAN SIZING &amp; FORMULA BIAYA INFRASTRUKTUR</t>
        </is>
      </c>
      <c r="C1" s="25" t="n"/>
      <c r="D1" s="25" t="n"/>
      <c r="E1" s="25" t="n"/>
      <c r="F1" s="25" t="n"/>
    </row>
    <row r="2" ht="26" customHeight="1">
      <c r="B2" s="15" t="inlineStr">
        <is>
          <t>No</t>
        </is>
      </c>
      <c r="C2" s="15" t="inlineStr">
        <is>
          <t>Parameter Sizing</t>
        </is>
      </c>
      <c r="D2" s="15" t="inlineStr">
        <is>
          <t>Formula Perhitungan</t>
        </is>
      </c>
      <c r="E2" s="15" t="inlineStr">
        <is>
          <t>Logika Kalkulasi</t>
        </is>
      </c>
      <c r="F2" s="15" t="inlineStr">
        <is>
          <t>Ketentuan Arsitektur &amp; Best Practice</t>
        </is>
      </c>
    </row>
    <row r="3" ht="32" customHeight="1">
      <c r="B3" s="20" t="n">
        <v>1</v>
      </c>
      <c r="C3" s="21" t="inlineStr">
        <is>
          <t>Total Compute vCPU</t>
        </is>
      </c>
      <c r="D3" s="21" t="inlineStr">
        <is>
          <t># of VM * vCPU</t>
        </is>
      </c>
      <c r="E3" s="22" t="inlineStr">
        <is>
          <t>Perkalian jumlah VM dengan alokasi vCPU per node.</t>
        </is>
      </c>
      <c r="F3" s="22" t="inlineStr">
        <is>
          <t>Moderate NGINX: 2 VM x 8 vCPU = 16 vCPU. Critical NGINX: 2 VM x 8-16 vCPU.</t>
        </is>
      </c>
    </row>
    <row r="4" ht="32" customHeight="1">
      <c r="B4" s="16" t="n">
        <v>2</v>
      </c>
      <c r="C4" s="17" t="inlineStr">
        <is>
          <t>Total Memory RAM</t>
        </is>
      </c>
      <c r="D4" s="17" t="inlineStr">
        <is>
          <t># of VM * RAM (GB)</t>
        </is>
      </c>
      <c r="E4" s="18" t="inlineStr">
        <is>
          <t>Perkalian jumlah VM dengan alokasi Memory (GB) per node.</t>
        </is>
      </c>
      <c r="F4" s="18" t="inlineStr">
        <is>
          <t>Moderate NGINX: 2 x 16GB = 32GB RAM. Critical NGINX: 2 x 16-32GB RAM.</t>
        </is>
      </c>
    </row>
    <row r="5" ht="32" customHeight="1">
      <c r="B5" s="20" t="n">
        <v>3</v>
      </c>
      <c r="C5" s="21" t="inlineStr">
        <is>
          <t>Total Storage Disk</t>
        </is>
      </c>
      <c r="D5" s="21" t="inlineStr">
        <is>
          <t># of VM * Disk (GB)</t>
        </is>
      </c>
      <c r="E5" s="22" t="inlineStr">
        <is>
          <t>Perkalian jumlah VM dengan kapasitas storage disk (GB) per node.</t>
        </is>
      </c>
      <c r="F5" s="22" t="inlineStr">
        <is>
          <t>Standar root OS &amp; file logging: 100GB - 200GB per VM.</t>
        </is>
      </c>
    </row>
    <row r="6" ht="32" customHeight="1">
      <c r="B6" s="16" t="n">
        <v>4</v>
      </c>
      <c r="C6" s="17" t="inlineStr">
        <is>
          <t>Pemisahan Logstash &amp; Elasticsearch</t>
        </is>
      </c>
      <c r="D6" s="17" t="inlineStr">
        <is>
          <t>Node Segregation (Tier Critical)</t>
        </is>
      </c>
      <c r="E6" s="18" t="inlineStr">
        <is>
          <t>Logstash shipper dipisahkan ke server tersendiri di luar cluster Elasticsearch.</t>
        </is>
      </c>
      <c r="F6" s="18" t="inlineStr">
        <is>
          <t>Tier Critical memisahkan Logstash (PVLMEL) dari Elasticsearch Master (PVLMEM) dan Hot Data (PVLMDH) agar resource parsing Grok tidak memicu Out of Memory (OOM) pada heap JVM Elasticsearch.</t>
        </is>
      </c>
    </row>
    <row r="7" ht="32" customHeight="1">
      <c r="B7" s="20" t="n">
        <v>5</v>
      </c>
      <c r="C7" s="21" t="inlineStr">
        <is>
          <t>Biaya vCPU Tahunan</t>
        </is>
      </c>
      <c r="D7" s="21" t="inlineStr">
        <is>
          <t>Total vCPU * Tarif vCPU</t>
        </is>
      </c>
      <c r="E7" s="22" t="inlineStr">
        <is>
          <t>Total vCPU dikalikan tarif standar tahunan (Production atau Dev).</t>
        </is>
      </c>
      <c r="F7" s="22" t="inlineStr">
        <is>
          <t>Mengacu sheet Pricing: Production Rp 8.250.000/vCPU/thn (=7.500.000*110%), Dev Rp 7.150.000/vCPU/thn (=6.500.000*110%).</t>
        </is>
      </c>
    </row>
    <row r="8" ht="32" customHeight="1">
      <c r="B8" s="16" t="n">
        <v>6</v>
      </c>
      <c r="C8" s="17" t="inlineStr">
        <is>
          <t>Biaya Storage Tahunan</t>
        </is>
      </c>
      <c r="D8" s="17" t="inlineStr">
        <is>
          <t>Total Storage * Tarif Storage</t>
        </is>
      </c>
      <c r="E8" s="18" t="inlineStr">
        <is>
          <t>Total GB dikalikan tarif Storage SAN Tier 2 tahunan.</t>
        </is>
      </c>
      <c r="F8" s="18" t="inlineStr">
        <is>
          <t>Mengacu sheet Pricing: Production Tier 2 Rp 33.000/GB/thn, Dev Rp 28.600/GB/thn.</t>
        </is>
      </c>
    </row>
    <row r="9" ht="32" customHeight="1">
      <c r="B9" s="20" t="n">
        <v>7</v>
      </c>
      <c r="C9" s="21" t="inlineStr">
        <is>
          <t>Biaya Backup Netbackup</t>
        </is>
      </c>
      <c r="D9" s="21" t="inlineStr">
        <is>
          <t>Storage * 50% * 80% * Tarif NBU</t>
        </is>
      </c>
      <c r="E9" s="22" t="inlineStr">
        <is>
          <t>Storage dikalikan 50% (asumsi data aktif), 80% (deduplikasi), dan tarif Rp 27.000/GB.</t>
        </is>
      </c>
      <c r="F9" s="22" t="inlineStr">
        <is>
          <t>Formula standar Bank Mandiri untuk proteksi dan pencadangan data berkala.</t>
        </is>
      </c>
    </row>
    <row r="10" ht="32" customHeight="1">
      <c r="B10" s="16" t="n">
        <v>8</v>
      </c>
      <c r="C10" s="17" t="inlineStr">
        <is>
          <t>Biaya Pengadaan Bare Metal</t>
        </is>
      </c>
      <c r="D10" s="17" t="inlineStr">
        <is>
          <t># Unit BM * Tarif Server</t>
        </is>
      </c>
      <c r="E10" s="18" t="inlineStr">
        <is>
          <t>Jumlah unit physical server dikalikan tarif pengadaan Rp 794.000.000.</t>
        </is>
      </c>
      <c r="F10" s="18" t="inlineStr">
        <is>
          <t>Digunakan khusus Tier Critical (Oracle RAC Bare Metal &amp; Dedicated OCP Worker BM).</t>
        </is>
      </c>
    </row>
    <row r="11" ht="32" customHeight="1">
      <c r="B11" s="20" t="n">
        <v>9</v>
      </c>
      <c r="C11" s="21" t="inlineStr">
        <is>
          <t>Pola Database: Single Node vs RAC</t>
        </is>
      </c>
      <c r="D11" s="21" t="inlineStr">
        <is>
          <t>Pola Arsitektur Database</t>
        </is>
      </c>
      <c r="E11" s="22" t="inlineStr">
        <is>
          <t>Moderate: Single Node VM Data Guard | Critical: Oracle RAC Bare Metal</t>
        </is>
      </c>
      <c r="F11" s="22" t="inlineStr">
        <is>
          <t>Tier Moderate mengoptimalkan biaya lisensi core database melalui Single Node Data Guard; Tier Critical wajib Oracle RAC Bare Metal untuk menangani beban transaksi tinggi dengan zero downtime failover.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2026-10-20T07:25:37Z</dcterms:created>
  <dcterms:modified xmlns:dcterms="http://purl.org/dc/terms/" xmlns:xsi="http://www.w3.org/2001/XMLSchema-instance" xsi:type="dcterms:W3CDTF">2026-10-20T07:25:38Z</dcterms:modified>
</cp:coreProperties>
</file>